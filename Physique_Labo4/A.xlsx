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ste\Rapports_Hepia\Physique_Labo4\"/>
    </mc:Choice>
  </mc:AlternateContent>
  <xr:revisionPtr revIDLastSave="0" documentId="8_{D46F5FAA-481A-474B-B689-ABDA21396D30}" xr6:coauthVersionLast="47" xr6:coauthVersionMax="47" xr10:uidLastSave="{00000000-0000-0000-0000-000000000000}"/>
  <bookViews>
    <workbookView xWindow="28680" yWindow="-120" windowWidth="29040" windowHeight="15720" xr2:uid="{DEE30310-7491-42BE-B041-B6F456BE4868}"/>
  </bookViews>
  <sheets>
    <sheet name="1. a." sheetId="1" r:id="rId1"/>
    <sheet name="1. b. " sheetId="2" r:id="rId2"/>
    <sheet name="1. c. " sheetId="3" r:id="rId3"/>
    <sheet name="2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J2" i="2" l="1"/>
  <c r="I15" i="3"/>
  <c r="H15" i="3"/>
  <c r="G15" i="3"/>
  <c r="H10" i="3"/>
  <c r="H11" i="3"/>
  <c r="H12" i="3"/>
  <c r="I10" i="3"/>
  <c r="I11" i="3"/>
  <c r="I12" i="3"/>
  <c r="G10" i="3"/>
  <c r="G11" i="3"/>
  <c r="G12" i="3"/>
  <c r="G7" i="3"/>
  <c r="H7" i="3"/>
  <c r="I7" i="3"/>
  <c r="I3" i="3"/>
  <c r="I4" i="3"/>
  <c r="I2" i="3"/>
  <c r="H3" i="3"/>
  <c r="H4" i="3"/>
  <c r="H2" i="3"/>
  <c r="G3" i="3"/>
  <c r="G4" i="3"/>
  <c r="G2" i="3"/>
  <c r="J3" i="2"/>
  <c r="J4" i="2"/>
  <c r="J5" i="2"/>
  <c r="J6" i="2"/>
  <c r="J7" i="2"/>
  <c r="J8" i="2"/>
  <c r="J9" i="2"/>
  <c r="J10" i="2"/>
  <c r="B10" i="2"/>
  <c r="C10" i="2"/>
  <c r="A10" i="2"/>
  <c r="C9" i="2"/>
  <c r="B9" i="2"/>
  <c r="A9" i="2"/>
  <c r="B8" i="2"/>
  <c r="B7" i="2"/>
  <c r="C7" i="2"/>
  <c r="C8" i="2"/>
  <c r="C6" i="2"/>
  <c r="C5" i="2"/>
  <c r="A8" i="2"/>
  <c r="A7" i="2"/>
  <c r="C4" i="2"/>
  <c r="C3" i="2"/>
  <c r="B6" i="2"/>
  <c r="B5" i="2"/>
  <c r="B4" i="2"/>
  <c r="B3" i="2"/>
  <c r="A6" i="2"/>
  <c r="A5" i="2"/>
  <c r="A4" i="2"/>
  <c r="D2" i="2"/>
  <c r="C2" i="2"/>
  <c r="A3" i="2"/>
  <c r="A2" i="2"/>
  <c r="H3" i="1"/>
  <c r="H4" i="1"/>
  <c r="G3" i="1"/>
  <c r="G4" i="1"/>
  <c r="G5" i="1"/>
  <c r="G6" i="1"/>
  <c r="G7" i="1"/>
  <c r="G8" i="1"/>
  <c r="G9" i="1"/>
  <c r="G10" i="1"/>
  <c r="G11" i="1"/>
  <c r="C3" i="1"/>
  <c r="C4" i="1"/>
  <c r="C5" i="1"/>
  <c r="C6" i="1"/>
  <c r="C7" i="1"/>
  <c r="C8" i="1"/>
  <c r="C9" i="1"/>
  <c r="C10" i="1"/>
  <c r="C11" i="1"/>
  <c r="C2" i="1"/>
  <c r="E11" i="1"/>
  <c r="E3" i="1"/>
  <c r="E4" i="1"/>
  <c r="E5" i="1"/>
  <c r="E6" i="1"/>
  <c r="E7" i="1"/>
  <c r="E8" i="1"/>
  <c r="E9" i="1"/>
  <c r="E10" i="1"/>
  <c r="E2" i="1"/>
  <c r="G2" i="1"/>
  <c r="I2" i="1"/>
  <c r="D10" i="2" l="1"/>
  <c r="D9" i="2"/>
  <c r="D8" i="2"/>
  <c r="D7" i="2"/>
  <c r="D4" i="2"/>
  <c r="D3" i="2"/>
  <c r="D6" i="2"/>
  <c r="D5" i="2"/>
  <c r="I3" i="1"/>
  <c r="I4" i="1"/>
  <c r="I5" i="1"/>
  <c r="H11" i="1"/>
  <c r="H10" i="1"/>
  <c r="H9" i="1"/>
  <c r="H8" i="1"/>
  <c r="H7" i="1"/>
  <c r="H6" i="1"/>
  <c r="I8" i="1"/>
  <c r="I9" i="1"/>
  <c r="I10" i="1"/>
  <c r="I11" i="1"/>
  <c r="I7" i="1"/>
  <c r="I6" i="1"/>
  <c r="H5" i="1"/>
  <c r="H2" i="1"/>
</calcChain>
</file>

<file path=xl/sharedStrings.xml><?xml version="1.0" encoding="utf-8"?>
<sst xmlns="http://schemas.openxmlformats.org/spreadsheetml/2006/main" count="79" uniqueCount="48">
  <si>
    <t>f</t>
  </si>
  <si>
    <t>f / cm</t>
  </si>
  <si>
    <t>γ</t>
  </si>
  <si>
    <t>1/q</t>
  </si>
  <si>
    <t>"-1/p"</t>
  </si>
  <si>
    <t xml:space="preserve">p avec offset/ cm </t>
  </si>
  <si>
    <t>Taille F / cm  +/-0,1</t>
  </si>
  <si>
    <t>offset q / cm  +/-0,1</t>
  </si>
  <si>
    <t>offset p / cm  +/-0,1</t>
  </si>
  <si>
    <t>mesure p</t>
  </si>
  <si>
    <t xml:space="preserve">q avec offset / cm </t>
  </si>
  <si>
    <t>mesure q / cm +/- 0,2</t>
  </si>
  <si>
    <t>A1B1 / cm +/- 0,1</t>
  </si>
  <si>
    <t xml:space="preserve">Attention, on avait pas mis de verre dépoli, du coup la lumière était plus intense </t>
  </si>
  <si>
    <t>D</t>
  </si>
  <si>
    <t>p1</t>
  </si>
  <si>
    <t>p2</t>
  </si>
  <si>
    <t>d</t>
  </si>
  <si>
    <t>γ1</t>
  </si>
  <si>
    <t>γ2</t>
  </si>
  <si>
    <t>offset objet /cm +/- 0,02</t>
  </si>
  <si>
    <t>Offset objet</t>
  </si>
  <si>
    <t xml:space="preserve">2 lentilles focale de f= 100 mm </t>
  </si>
  <si>
    <t>(O--L1) reel</t>
  </si>
  <si>
    <t>(L1--L2) reel</t>
  </si>
  <si>
    <t>(L2--E) reel</t>
  </si>
  <si>
    <t>offset Objet +/- 0.2 cm</t>
  </si>
  <si>
    <t>offset L1 +/- 0.2 cm</t>
  </si>
  <si>
    <t>offset L2 +/- 0.2 cm</t>
  </si>
  <si>
    <t>offset Ecran +/- 0.2 cm</t>
  </si>
  <si>
    <t>Objet +/- 0.1 cm</t>
  </si>
  <si>
    <t>L1  +/- 0.1 cm</t>
  </si>
  <si>
    <t>L2 +/- 0.1 cm</t>
  </si>
  <si>
    <t>Ecran +/- 0.1 cm</t>
  </si>
  <si>
    <t xml:space="preserve">Conv--Conv Separées </t>
  </si>
  <si>
    <t xml:space="preserve">Conv--Conv Accolées </t>
  </si>
  <si>
    <t>Conv--Div Accolées</t>
  </si>
  <si>
    <t>F1  = 100mm, F2 = 50mm</t>
  </si>
  <si>
    <t>F droit</t>
  </si>
  <si>
    <t>F inversé</t>
  </si>
  <si>
    <t>F1  = 100mm, F2 = -100mm</t>
  </si>
  <si>
    <t>Conv--Div Séparées</t>
  </si>
  <si>
    <t>γ  +/- 1 mm</t>
  </si>
  <si>
    <t>CONV --&gt; Lentille convergente</t>
  </si>
  <si>
    <t>DIV --&gt; Lentille divergente</t>
  </si>
  <si>
    <t>OBJ--&gt;CONV--&gt;CONV--&gt;SCR</t>
  </si>
  <si>
    <t>OBJ--&gt;CONV--&gt;DIV--&gt;SCR</t>
  </si>
  <si>
    <t xml:space="preserve">Faire une regression, pour trouver f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</si>
</sst>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00"/>
  </numFmts>
  <fonts count="3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1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61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0.36384251968503939"/>
                  <c:y val="-4.6296296296296294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</c:trendlineLbl>
          </c:trendline>
          <c:xVal>
            <c:numRef>
              <c:f>'1. a.'!$I$2:$I$11</c:f>
              <c:numCache>
                <c:formatCode>0.00000</c:formatCode>
                <c:ptCount val="10"/>
                <c:pt idx="0">
                  <c:v>-8.6956521739130432E-2</c:v>
                </c:pt>
                <c:pt idx="1">
                  <c:v>-0.08</c:v>
                </c:pt>
                <c:pt idx="2">
                  <c:v>-7.6923076923076927E-2</c:v>
                </c:pt>
                <c:pt idx="3">
                  <c:v>-7.407407407407407E-2</c:v>
                </c:pt>
                <c:pt idx="4">
                  <c:v>-7.1428571428571425E-2</c:v>
                </c:pt>
                <c:pt idx="5">
                  <c:v>-6.8965517241379309E-2</c:v>
                </c:pt>
                <c:pt idx="6">
                  <c:v>-6.6666666666666666E-2</c:v>
                </c:pt>
                <c:pt idx="7">
                  <c:v>-6.4516129032258063E-2</c:v>
                </c:pt>
                <c:pt idx="8">
                  <c:v>-6.25E-2</c:v>
                </c:pt>
                <c:pt idx="9">
                  <c:v>-6.0606060606060608E-2</c:v>
                </c:pt>
              </c:numCache>
            </c:numRef>
          </c:xVal>
          <c:yVal>
            <c:numRef>
              <c:f>'1. a.'!$H$2:$H$11</c:f>
              <c:numCache>
                <c:formatCode>0.00000</c:formatCode>
                <c:ptCount val="10"/>
                <c:pt idx="0">
                  <c:v>1.5503875968992248E-2</c:v>
                </c:pt>
                <c:pt idx="1">
                  <c:v>2.178649237472767E-2</c:v>
                </c:pt>
                <c:pt idx="2">
                  <c:v>2.5773195876288662E-2</c:v>
                </c:pt>
                <c:pt idx="3">
                  <c:v>2.865329512893983E-2</c:v>
                </c:pt>
                <c:pt idx="4">
                  <c:v>3.0674846625766871E-2</c:v>
                </c:pt>
                <c:pt idx="5">
                  <c:v>3.2894736842105261E-2</c:v>
                </c:pt>
                <c:pt idx="6">
                  <c:v>3.5714285714285712E-2</c:v>
                </c:pt>
                <c:pt idx="7">
                  <c:v>3.6764705882352942E-2</c:v>
                </c:pt>
                <c:pt idx="8">
                  <c:v>4.0816326530612242E-2</c:v>
                </c:pt>
                <c:pt idx="9">
                  <c:v>4.2016806722689072E-2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7A2-43A8-A9BD-BFDF7411A2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1640047"/>
        <c:axId val="971916719"/>
      </c:scatterChart>
      <c:valAx>
        <c:axId val="1311640047"/>
        <c:scaling>
          <c:orientation val="minMax"/>
          <c:max val="-5.5000000000000007E-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CH"/>
                  <a:t>-1/p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0.0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71916719"/>
        <c:crosses val="autoZero"/>
        <c:crossBetween val="midCat"/>
      </c:valAx>
      <c:valAx>
        <c:axId val="9719167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CH"/>
                  <a:t>1/q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0.0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31164004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873125</xdr:colOff>
      <xdr:row>14</xdr:row>
      <xdr:rowOff>0</xdr:rowOff>
    </xdr:from>
    <xdr:to>
      <xdr:col>8</xdr:col>
      <xdr:colOff>815975</xdr:colOff>
      <xdr:row>28</xdr:row>
      <xdr:rowOff>165100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86FFB81D-0168-2A8B-ABDA-B56466E0DCE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7F2AFF4-33C6-465D-AB72-1FB23FB51F8A}" name="Tableau1" displayName="Tableau1" ref="F1:I4" totalsRowShown="0" headerRowDxfId="60" dataDxfId="59">
  <autoFilter ref="F1:I4" xr:uid="{77F2AFF4-33C6-465D-AB72-1FB23FB51F8A}"/>
  <tableColumns count="4">
    <tableColumn id="1" xr3:uid="{81827E8E-AC82-4D4A-AB77-C2CE3A647E3E}" name="γ  +/- 1 mm" dataDxfId="58"/>
    <tableColumn id="2" xr3:uid="{A653ED77-D95B-445B-87A3-43457C87C5E4}" name="(O--L1) reel" dataDxfId="57">
      <calculatedColumnFormula>B2-A2+$A$18+$B$18</calculatedColumnFormula>
    </tableColumn>
    <tableColumn id="3" xr3:uid="{53673BFB-D83B-4C7D-B5A5-12D403162C32}" name="(L1--L2) reel" dataDxfId="56">
      <calculatedColumnFormula>C2-B2-$B$18+$C$18</calculatedColumnFormula>
    </tableColumn>
    <tableColumn id="4" xr3:uid="{CFC884B5-AE81-4AB6-8020-100B80AEDDD1}" name="(L2--E) reel" dataDxfId="55">
      <calculatedColumnFormula>D2-C2-$C$18+$D$18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AE92DEF-6BB3-491C-81F2-CB267F1DCA16}" name="Tableau3" displayName="Tableau3" ref="F6:I7" totalsRowShown="0" headerRowDxfId="54" dataDxfId="53">
  <autoFilter ref="F6:I7" xr:uid="{8AE92DEF-6BB3-491C-81F2-CB267F1DCA16}"/>
  <tableColumns count="4">
    <tableColumn id="1" xr3:uid="{3B1274B7-93F7-4C05-95C4-A1672AE7B0EB}" name="γ  +/- 1 mm" dataDxfId="52"/>
    <tableColumn id="2" xr3:uid="{3E5E7D0A-A17E-42F9-8CD5-40EC0C4F422E}" name="(O--L1) reel" dataDxfId="51">
      <calculatedColumnFormula>B7-A7+$A$18+$B$18</calculatedColumnFormula>
    </tableColumn>
    <tableColumn id="3" xr3:uid="{C763016D-7A94-47A6-BD29-60F75265CE81}" name="(L1--L2) reel" dataDxfId="50">
      <calculatedColumnFormula>C7-B7-$B$18+$C$18</calculatedColumnFormula>
    </tableColumn>
    <tableColumn id="4" xr3:uid="{C2DF35D5-181A-4E13-827F-289D624C1930}" name="(L2--E) reel" dataDxfId="49">
      <calculatedColumnFormula>D7-C7-$C$18+$D$18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36F82B6-5780-42FA-832F-DEA11CC8775C}" name="Tableau4" displayName="Tableau4" ref="F9:I12" totalsRowShown="0" headerRowDxfId="48" dataDxfId="47">
  <autoFilter ref="F9:I12" xr:uid="{E36F82B6-5780-42FA-832F-DEA11CC8775C}"/>
  <tableColumns count="4">
    <tableColumn id="1" xr3:uid="{CFAF56E2-93F5-4560-A141-D5AA0543D885}" name="γ  +/- 1 mm" dataDxfId="46"/>
    <tableColumn id="2" xr3:uid="{3677408F-AE63-4226-ABBB-10A73704B25D}" name="(O--L1) reel" dataDxfId="45">
      <calculatedColumnFormula>B10-A10+$A$23+$B$23</calculatedColumnFormula>
    </tableColumn>
    <tableColumn id="3" xr3:uid="{00B6A7FF-19F3-42F7-B97A-5A5FEEE73683}" name="(L1--L2) reel" dataDxfId="44">
      <calculatedColumnFormula>C10-B10-$B$23+$C$23</calculatedColumnFormula>
    </tableColumn>
    <tableColumn id="4" xr3:uid="{EB0F81FA-D427-48DF-B3E2-BCAE9814AF5C}" name="(L2--E) reel" dataDxfId="43">
      <calculatedColumnFormula>D10-C10-$C$23+$D$23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1B87A4C-1914-4C13-A334-FAC9A8EA7CB9}" name="Tableau5" displayName="Tableau5" ref="A1:D4" totalsRowShown="0" headerRowDxfId="42" dataDxfId="41">
  <autoFilter ref="A1:D4" xr:uid="{61B87A4C-1914-4C13-A334-FAC9A8EA7CB9}"/>
  <tableColumns count="4">
    <tableColumn id="1" xr3:uid="{24B70EDE-A011-43EA-AA5D-93832B2B1313}" name="Objet +/- 0.1 cm" dataDxfId="40"/>
    <tableColumn id="2" xr3:uid="{466BDE45-1AE9-4CFB-88FB-1C53E081DC0F}" name="L1  +/- 0.1 cm" dataDxfId="39"/>
    <tableColumn id="3" xr3:uid="{FB781C8D-5274-4330-9B12-CF44EEEA66AA}" name="L2 +/- 0.1 cm" dataDxfId="38"/>
    <tableColumn id="4" xr3:uid="{AD31422E-4E88-4654-8254-0E291E9BD100}" name="Ecran +/- 0.1 cm" dataDxfId="37"/>
  </tableColumns>
  <tableStyleInfo name="TableStyleLight2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A9E79A1B-5037-40CC-A1F7-2DD00E1664E1}" name="Tableau6" displayName="Tableau6" ref="A6:D7" totalsRowShown="0" headerRowDxfId="36" dataDxfId="35">
  <autoFilter ref="A6:D7" xr:uid="{A9E79A1B-5037-40CC-A1F7-2DD00E1664E1}"/>
  <tableColumns count="4">
    <tableColumn id="1" xr3:uid="{6EC6A0BC-EDD4-4675-8C85-CCB0A079B1B9}" name="Objet +/- 0.1 cm" dataDxfId="34"/>
    <tableColumn id="2" xr3:uid="{31826EF5-70F4-46C1-BA45-FEDA0C13C605}" name="L1  +/- 0.1 cm" dataDxfId="33"/>
    <tableColumn id="3" xr3:uid="{C5A5EC42-FA9A-4866-9296-F2B60D829E02}" name="L2 +/- 0.1 cm" dataDxfId="32"/>
    <tableColumn id="4" xr3:uid="{407F4B14-82B7-438E-AF64-6106096A827B}" name="Ecran +/- 0.1 cm" dataDxfId="31"/>
  </tableColumns>
  <tableStyleInfo name="TableStyleLight2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606B105E-00E6-4D63-A218-560A38EA955B}" name="Tableau7" displayName="Tableau7" ref="A9:D12" totalsRowShown="0" headerRowDxfId="30" dataDxfId="29">
  <autoFilter ref="A9:D12" xr:uid="{606B105E-00E6-4D63-A218-560A38EA955B}"/>
  <tableColumns count="4">
    <tableColumn id="1" xr3:uid="{658F0537-66EB-40E7-BA23-1F359F017F32}" name="Objet +/- 0.1 cm" dataDxfId="28"/>
    <tableColumn id="2" xr3:uid="{65B9CAED-913A-41A7-A1F3-B4706333F88E}" name="L1  +/- 0.1 cm" dataDxfId="27"/>
    <tableColumn id="3" xr3:uid="{2A4D0A86-F302-4D97-83F7-E2C14F550826}" name="L2 +/- 0.1 cm" dataDxfId="26"/>
    <tableColumn id="4" xr3:uid="{B4846AA6-91EC-40DC-8912-94E068C46479}" name="Ecran +/- 0.1 cm" dataDxfId="25"/>
  </tableColumns>
  <tableStyleInfo name="TableStyleLight21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39588720-1670-40F5-AB5D-29AF39648946}" name="Tableau8" displayName="Tableau8" ref="A17:E18" totalsRowShown="0" headerRowDxfId="24" dataDxfId="23">
  <autoFilter ref="A17:E18" xr:uid="{39588720-1670-40F5-AB5D-29AF39648946}"/>
  <tableColumns count="5">
    <tableColumn id="1" xr3:uid="{7F7D6C26-1226-40B0-90DC-01716815AA30}" name="offset Objet +/- 0.2 cm" dataDxfId="22"/>
    <tableColumn id="2" xr3:uid="{B01F922E-3FD5-477C-8041-5E396DF4C9A8}" name="offset L1 +/- 0.2 cm" dataDxfId="21"/>
    <tableColumn id="3" xr3:uid="{36327CD4-9F2E-4029-B652-370673F7FB6A}" name="offset L2 +/- 0.2 cm" dataDxfId="20"/>
    <tableColumn id="4" xr3:uid="{61F7F211-72C4-4C9D-B7D1-F4F5A38F2745}" name="offset Ecran +/- 0.2 cm" dataDxfId="19"/>
    <tableColumn id="5" xr3:uid="{8FB6FE41-8788-430B-B613-CD10941504D1}" name="OBJ--&gt;CONV--&gt;CONV--&gt;SCR" dataDxfId="18"/>
  </tableColumns>
  <tableStyleInfo name="TableStyleMedium1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74C7D16E-9926-42F7-B176-6B78B9912D3D}" name="Tableau9" displayName="Tableau9" ref="A14:D15" totalsRowShown="0" headerRowDxfId="17" dataDxfId="16">
  <autoFilter ref="A14:D15" xr:uid="{74C7D16E-9926-42F7-B176-6B78B9912D3D}"/>
  <tableColumns count="4">
    <tableColumn id="1" xr3:uid="{E83493E1-D18C-4AB8-817C-7DD1B679159E}" name="Objet +/- 0.1 cm" dataDxfId="15"/>
    <tableColumn id="2" xr3:uid="{826CCC02-8DD4-4177-9C0E-ABA32229D2D1}" name="L1  +/- 0.1 cm" dataDxfId="14"/>
    <tableColumn id="3" xr3:uid="{96853ACD-D44F-40CA-8547-00B5D4BD8248}" name="L2 +/- 0.1 cm" dataDxfId="13"/>
    <tableColumn id="4" xr3:uid="{2E44D91E-0964-4C53-9F7F-B41D932E33F9}" name="Ecran +/- 0.1 cm" dataDxfId="12"/>
  </tableColumns>
  <tableStyleInfo name="TableStyleLight21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C883DAC8-2AFA-4546-963B-B6E7AA875F8C}" name="Tableau10" displayName="Tableau10" ref="F14:I15" totalsRowShown="0" headerRowDxfId="11" dataDxfId="10">
  <autoFilter ref="F14:I15" xr:uid="{C883DAC8-2AFA-4546-963B-B6E7AA875F8C}"/>
  <tableColumns count="4">
    <tableColumn id="1" xr3:uid="{A192E514-A13B-4B6D-B7BD-B41793B17D86}" name="γ  +/- 1 mm" dataDxfId="9"/>
    <tableColumn id="2" xr3:uid="{8E7328B6-BF21-4FD6-890D-8EDFB9464F97}" name="(O--L1) reel" dataDxfId="8">
      <calculatedColumnFormula>B15-A15+$A$23+$B$23</calculatedColumnFormula>
    </tableColumn>
    <tableColumn id="3" xr3:uid="{0E92219F-80FB-486E-AE64-0FAA9EED54BC}" name="(L1--L2) reel" dataDxfId="7">
      <calculatedColumnFormula>C15-B15-$B$23+$C$23</calculatedColumnFormula>
    </tableColumn>
    <tableColumn id="4" xr3:uid="{18C29939-A633-4C76-9871-040107F0A5F5}" name="(L2--E) reel" dataDxfId="6">
      <calculatedColumnFormula>D15-C15-$C$23+$D$23</calculatedColumnFormula>
    </tableColumn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9CC202C-5830-4082-904F-5052A37107D1}" name="Tableau812" displayName="Tableau812" ref="A22:D23" totalsRowShown="0" headerRowDxfId="5" dataDxfId="4">
  <autoFilter ref="A22:D23" xr:uid="{09CC202C-5830-4082-904F-5052A37107D1}"/>
  <tableColumns count="4">
    <tableColumn id="1" xr3:uid="{9B612E57-C83D-4E7F-AC24-4A1A4FC51407}" name="offset Objet +/- 0.2 cm" dataDxfId="3"/>
    <tableColumn id="2" xr3:uid="{73AC1309-0DBE-458D-8B55-B4F49D206FA4}" name="offset L1 +/- 0.2 cm" dataDxfId="2"/>
    <tableColumn id="3" xr3:uid="{1EF43436-AED6-4EC3-BC65-A598255925A1}" name="offset L2 +/- 0.2 cm" dataDxfId="1"/>
    <tableColumn id="4" xr3:uid="{663A47BC-3A69-489C-B988-F5B8208481F3}" name="offset Ecran +/- 0.2 cm" dataDxfId="0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table" Target="../tables/table8.xml"/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5" Type="http://schemas.openxmlformats.org/officeDocument/2006/relationships/table" Target="../tables/table5.xml"/><Relationship Id="rId10" Type="http://schemas.openxmlformats.org/officeDocument/2006/relationships/table" Target="../tables/table10.xml"/><Relationship Id="rId4" Type="http://schemas.openxmlformats.org/officeDocument/2006/relationships/table" Target="../tables/table4.xml"/><Relationship Id="rId9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825770-EA76-4506-A734-BAE07008998F}">
  <dimension ref="A1:J14"/>
  <sheetViews>
    <sheetView tabSelected="1" topLeftCell="A7" workbookViewId="0">
      <selection activeCell="D26" sqref="D26"/>
    </sheetView>
  </sheetViews>
  <sheetFormatPr defaultColWidth="11.5546875" defaultRowHeight="14.4" x14ac:dyDescent="0.3"/>
  <cols>
    <col min="1" max="1" width="16" bestFit="1" customWidth="1"/>
    <col min="3" max="3" width="14.88671875" bestFit="1" customWidth="1"/>
    <col min="4" max="4" width="17.77734375" bestFit="1" customWidth="1"/>
    <col min="5" max="5" width="15.21875" bestFit="1" customWidth="1"/>
    <col min="8" max="8" width="11.33203125" bestFit="1" customWidth="1"/>
    <col min="9" max="9" width="12" bestFit="1" customWidth="1"/>
  </cols>
  <sheetData>
    <row r="1" spans="1:10" x14ac:dyDescent="0.3">
      <c r="A1" t="s">
        <v>1</v>
      </c>
      <c r="B1" t="s">
        <v>9</v>
      </c>
      <c r="C1" t="s">
        <v>5</v>
      </c>
      <c r="D1" t="s">
        <v>11</v>
      </c>
      <c r="E1" t="s">
        <v>10</v>
      </c>
      <c r="F1" t="s">
        <v>12</v>
      </c>
      <c r="G1" s="1" t="s">
        <v>2</v>
      </c>
      <c r="H1" s="1" t="s">
        <v>3</v>
      </c>
      <c r="I1" t="s">
        <v>4</v>
      </c>
    </row>
    <row r="2" spans="1:10" x14ac:dyDescent="0.3">
      <c r="A2">
        <v>10</v>
      </c>
      <c r="B2">
        <v>9.8000000000000007</v>
      </c>
      <c r="C2" s="2">
        <f>B2+$A$4</f>
        <v>11.5</v>
      </c>
      <c r="D2">
        <v>65</v>
      </c>
      <c r="E2" s="2">
        <f>D2-$A$6</f>
        <v>64.5</v>
      </c>
      <c r="F2">
        <v>5.5</v>
      </c>
      <c r="G2">
        <f>F2/$A$8</f>
        <v>5.5</v>
      </c>
      <c r="H2" s="3">
        <f>1/E2</f>
        <v>1.5503875968992248E-2</v>
      </c>
      <c r="I2" s="3">
        <f>-1/C2</f>
        <v>-8.6956521739130432E-2</v>
      </c>
      <c r="J2">
        <v>1</v>
      </c>
    </row>
    <row r="3" spans="1:10" x14ac:dyDescent="0.3">
      <c r="A3" t="s">
        <v>8</v>
      </c>
      <c r="B3">
        <v>10.8</v>
      </c>
      <c r="C3" s="2">
        <f t="shared" ref="C3:C11" si="0">B3+$A$4</f>
        <v>12.5</v>
      </c>
      <c r="D3">
        <v>46.4</v>
      </c>
      <c r="E3" s="2">
        <f t="shared" ref="E3:E10" si="1">D3-$A$6</f>
        <v>45.9</v>
      </c>
      <c r="F3">
        <v>3.6</v>
      </c>
      <c r="G3">
        <f t="shared" ref="G3:G11" si="2">F3/$A$8</f>
        <v>3.6</v>
      </c>
      <c r="H3" s="3">
        <f t="shared" ref="H3:H11" si="3">1/E3</f>
        <v>2.178649237472767E-2</v>
      </c>
      <c r="I3" s="3">
        <f t="shared" ref="I3:I11" si="4">-1/C3</f>
        <v>-0.08</v>
      </c>
      <c r="J3">
        <v>2</v>
      </c>
    </row>
    <row r="4" spans="1:10" x14ac:dyDescent="0.3">
      <c r="A4" s="2">
        <v>1.7</v>
      </c>
      <c r="B4">
        <v>11.3</v>
      </c>
      <c r="C4" s="2">
        <f t="shared" si="0"/>
        <v>13</v>
      </c>
      <c r="D4">
        <v>39.299999999999997</v>
      </c>
      <c r="E4" s="2">
        <f t="shared" si="1"/>
        <v>38.799999999999997</v>
      </c>
      <c r="F4">
        <v>3</v>
      </c>
      <c r="G4">
        <f t="shared" si="2"/>
        <v>3</v>
      </c>
      <c r="H4" s="3">
        <f t="shared" si="3"/>
        <v>2.5773195876288662E-2</v>
      </c>
      <c r="I4" s="3">
        <f t="shared" si="4"/>
        <v>-7.6923076923076927E-2</v>
      </c>
      <c r="J4">
        <v>3</v>
      </c>
    </row>
    <row r="5" spans="1:10" x14ac:dyDescent="0.3">
      <c r="A5" t="s">
        <v>7</v>
      </c>
      <c r="B5">
        <v>11.8</v>
      </c>
      <c r="C5" s="2">
        <f t="shared" si="0"/>
        <v>13.5</v>
      </c>
      <c r="D5">
        <v>35.4</v>
      </c>
      <c r="E5" s="2">
        <f t="shared" si="1"/>
        <v>34.9</v>
      </c>
      <c r="F5">
        <v>2.5</v>
      </c>
      <c r="G5">
        <f t="shared" si="2"/>
        <v>2.5</v>
      </c>
      <c r="H5" s="3">
        <f t="shared" si="3"/>
        <v>2.865329512893983E-2</v>
      </c>
      <c r="I5" s="3">
        <f t="shared" si="4"/>
        <v>-7.407407407407407E-2</v>
      </c>
      <c r="J5">
        <v>4</v>
      </c>
    </row>
    <row r="6" spans="1:10" x14ac:dyDescent="0.3">
      <c r="A6" s="2">
        <v>0.5</v>
      </c>
      <c r="B6">
        <v>12.3</v>
      </c>
      <c r="C6" s="2">
        <f t="shared" si="0"/>
        <v>14</v>
      </c>
      <c r="D6">
        <v>33.1</v>
      </c>
      <c r="E6" s="2">
        <f t="shared" si="1"/>
        <v>32.6</v>
      </c>
      <c r="F6">
        <v>2.2999999999999998</v>
      </c>
      <c r="G6">
        <f t="shared" si="2"/>
        <v>2.2999999999999998</v>
      </c>
      <c r="H6" s="3">
        <f t="shared" si="3"/>
        <v>3.0674846625766871E-2</v>
      </c>
      <c r="I6" s="3">
        <f t="shared" si="4"/>
        <v>-7.1428571428571425E-2</v>
      </c>
      <c r="J6">
        <v>5</v>
      </c>
    </row>
    <row r="7" spans="1:10" x14ac:dyDescent="0.3">
      <c r="A7" t="s">
        <v>6</v>
      </c>
      <c r="B7">
        <v>12.8</v>
      </c>
      <c r="C7" s="2">
        <f t="shared" si="0"/>
        <v>14.5</v>
      </c>
      <c r="D7">
        <v>30.9</v>
      </c>
      <c r="E7" s="2">
        <f t="shared" si="1"/>
        <v>30.4</v>
      </c>
      <c r="F7">
        <v>2.1</v>
      </c>
      <c r="G7">
        <f t="shared" si="2"/>
        <v>2.1</v>
      </c>
      <c r="H7" s="3">
        <f t="shared" si="3"/>
        <v>3.2894736842105261E-2</v>
      </c>
      <c r="I7" s="3">
        <f t="shared" si="4"/>
        <v>-6.8965517241379309E-2</v>
      </c>
      <c r="J7">
        <v>6</v>
      </c>
    </row>
    <row r="8" spans="1:10" x14ac:dyDescent="0.3">
      <c r="A8">
        <v>1</v>
      </c>
      <c r="B8">
        <v>13.3</v>
      </c>
      <c r="C8" s="2">
        <f t="shared" si="0"/>
        <v>15</v>
      </c>
      <c r="D8">
        <v>28.5</v>
      </c>
      <c r="E8" s="2">
        <f t="shared" si="1"/>
        <v>28</v>
      </c>
      <c r="F8">
        <v>1.9</v>
      </c>
      <c r="G8">
        <f t="shared" si="2"/>
        <v>1.9</v>
      </c>
      <c r="H8" s="3">
        <f t="shared" si="3"/>
        <v>3.5714285714285712E-2</v>
      </c>
      <c r="I8" s="3">
        <f t="shared" si="4"/>
        <v>-6.6666666666666666E-2</v>
      </c>
      <c r="J8">
        <v>7</v>
      </c>
    </row>
    <row r="9" spans="1:10" x14ac:dyDescent="0.3">
      <c r="B9">
        <v>13.8</v>
      </c>
      <c r="C9" s="2">
        <f t="shared" si="0"/>
        <v>15.5</v>
      </c>
      <c r="D9">
        <v>27.7</v>
      </c>
      <c r="E9" s="2">
        <f t="shared" si="1"/>
        <v>27.2</v>
      </c>
      <c r="F9">
        <v>1.8</v>
      </c>
      <c r="G9">
        <f t="shared" si="2"/>
        <v>1.8</v>
      </c>
      <c r="H9" s="3">
        <f t="shared" si="3"/>
        <v>3.6764705882352942E-2</v>
      </c>
      <c r="I9" s="3">
        <f t="shared" si="4"/>
        <v>-6.4516129032258063E-2</v>
      </c>
      <c r="J9">
        <v>8</v>
      </c>
    </row>
    <row r="10" spans="1:10" x14ac:dyDescent="0.3">
      <c r="B10">
        <v>14.3</v>
      </c>
      <c r="C10" s="2">
        <f t="shared" si="0"/>
        <v>16</v>
      </c>
      <c r="D10">
        <v>25</v>
      </c>
      <c r="E10" s="2">
        <f t="shared" si="1"/>
        <v>24.5</v>
      </c>
      <c r="F10">
        <v>1.6</v>
      </c>
      <c r="G10">
        <f t="shared" si="2"/>
        <v>1.6</v>
      </c>
      <c r="H10" s="3">
        <f t="shared" si="3"/>
        <v>4.0816326530612242E-2</v>
      </c>
      <c r="I10" s="3">
        <f t="shared" si="4"/>
        <v>-6.25E-2</v>
      </c>
      <c r="J10">
        <v>9</v>
      </c>
    </row>
    <row r="11" spans="1:10" x14ac:dyDescent="0.3">
      <c r="B11">
        <v>14.8</v>
      </c>
      <c r="C11" s="2">
        <f t="shared" si="0"/>
        <v>16.5</v>
      </c>
      <c r="D11">
        <v>24.3</v>
      </c>
      <c r="E11" s="2">
        <f>D11-$A$6</f>
        <v>23.8</v>
      </c>
      <c r="F11">
        <v>1.5</v>
      </c>
      <c r="G11">
        <f t="shared" si="2"/>
        <v>1.5</v>
      </c>
      <c r="H11" s="3">
        <f t="shared" si="3"/>
        <v>4.2016806722689072E-2</v>
      </c>
      <c r="I11" s="3">
        <f t="shared" si="4"/>
        <v>-6.0606060606060608E-2</v>
      </c>
      <c r="J11">
        <v>10</v>
      </c>
    </row>
    <row r="14" spans="1:10" x14ac:dyDescent="0.3">
      <c r="A14" s="4" t="s">
        <v>13</v>
      </c>
      <c r="B14" s="4"/>
      <c r="C14" s="4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372012-6705-4A70-89AF-614572F65ABB}">
  <dimension ref="A1:J13"/>
  <sheetViews>
    <sheetView workbookViewId="0">
      <selection activeCell="G20" sqref="G20"/>
    </sheetView>
  </sheetViews>
  <sheetFormatPr defaultColWidth="11.5546875" defaultRowHeight="14.4" x14ac:dyDescent="0.3"/>
  <cols>
    <col min="8" max="8" width="20.109375" bestFit="1" customWidth="1"/>
  </cols>
  <sheetData>
    <row r="1" spans="1:10" x14ac:dyDescent="0.3">
      <c r="A1" t="s">
        <v>14</v>
      </c>
      <c r="B1" t="s">
        <v>15</v>
      </c>
      <c r="C1" t="s">
        <v>16</v>
      </c>
      <c r="D1" t="s">
        <v>17</v>
      </c>
      <c r="E1" s="1" t="s">
        <v>18</v>
      </c>
      <c r="F1" s="1" t="s">
        <v>19</v>
      </c>
      <c r="G1">
        <v>1</v>
      </c>
      <c r="H1" s="4" t="s">
        <v>20</v>
      </c>
      <c r="J1" t="s">
        <v>0</v>
      </c>
    </row>
    <row r="2" spans="1:10" x14ac:dyDescent="0.3">
      <c r="A2">
        <f>95-18+$H$4</f>
        <v>80.2</v>
      </c>
      <c r="B2">
        <v>57.2</v>
      </c>
      <c r="C2">
        <f>17.4+H5</f>
        <v>18.899999999999999</v>
      </c>
      <c r="D2">
        <f>B2-C2</f>
        <v>38.300000000000004</v>
      </c>
      <c r="E2">
        <v>0.37</v>
      </c>
      <c r="F2">
        <v>3.3</v>
      </c>
      <c r="G2">
        <v>2</v>
      </c>
      <c r="H2" s="4">
        <v>0.42599999999999999</v>
      </c>
      <c r="J2">
        <f>((A2^2) - (D2^2))/(4*A2)</f>
        <v>15.47740024937656</v>
      </c>
    </row>
    <row r="3" spans="1:10" x14ac:dyDescent="0.3">
      <c r="A3">
        <f>94-18+$H$4</f>
        <v>79.2</v>
      </c>
      <c r="B3">
        <f>75.4-18+$H$5</f>
        <v>58.900000000000006</v>
      </c>
      <c r="C3">
        <f>35.4-18+$H$5</f>
        <v>18.899999999999999</v>
      </c>
      <c r="D3">
        <f t="shared" ref="D3:D10" si="0">B3-C3</f>
        <v>40.000000000000007</v>
      </c>
      <c r="E3">
        <v>0.4</v>
      </c>
      <c r="F3">
        <v>3.2</v>
      </c>
      <c r="G3">
        <v>3</v>
      </c>
      <c r="H3" t="s">
        <v>21</v>
      </c>
      <c r="J3">
        <f t="shared" ref="J3:J10" si="1">((A3^2) - (D3^2))/(4*A3)</f>
        <v>14.749494949494947</v>
      </c>
    </row>
    <row r="4" spans="1:10" x14ac:dyDescent="0.3">
      <c r="A4">
        <f>93-18+$H$4</f>
        <v>78.2</v>
      </c>
      <c r="B4">
        <f>74.6-18+H5</f>
        <v>58.099999999999994</v>
      </c>
      <c r="C4">
        <f>35.6-18+H5</f>
        <v>19.100000000000001</v>
      </c>
      <c r="D4">
        <f t="shared" si="0"/>
        <v>38.999999999999993</v>
      </c>
      <c r="E4">
        <v>0.44</v>
      </c>
      <c r="F4">
        <v>3.1</v>
      </c>
      <c r="G4">
        <v>4</v>
      </c>
      <c r="H4">
        <v>3.2</v>
      </c>
      <c r="J4">
        <f t="shared" si="1"/>
        <v>14.687468030690543</v>
      </c>
    </row>
    <row r="5" spans="1:10" x14ac:dyDescent="0.3">
      <c r="A5">
        <f>92-18+$H$4</f>
        <v>77.2</v>
      </c>
      <c r="B5">
        <f>73.5-18+H5</f>
        <v>57</v>
      </c>
      <c r="C5">
        <f>35.7-18+H5</f>
        <v>19.200000000000003</v>
      </c>
      <c r="D5">
        <f t="shared" si="0"/>
        <v>37.799999999999997</v>
      </c>
      <c r="E5">
        <v>0.51</v>
      </c>
      <c r="F5">
        <v>3.1</v>
      </c>
      <c r="G5">
        <v>5</v>
      </c>
      <c r="H5">
        <v>1.5</v>
      </c>
      <c r="J5">
        <f t="shared" si="1"/>
        <v>14.672927461139896</v>
      </c>
    </row>
    <row r="6" spans="1:10" x14ac:dyDescent="0.3">
      <c r="A6">
        <f>91-18+$H$4</f>
        <v>76.2</v>
      </c>
      <c r="B6">
        <f>72.3-18+H5</f>
        <v>55.8</v>
      </c>
      <c r="C6">
        <f>35.8-18+H5</f>
        <v>19.299999999999997</v>
      </c>
      <c r="D6">
        <f t="shared" si="0"/>
        <v>36.5</v>
      </c>
      <c r="E6">
        <v>0.46</v>
      </c>
      <c r="F6">
        <v>3.1</v>
      </c>
      <c r="G6">
        <v>6</v>
      </c>
      <c r="J6">
        <f t="shared" si="1"/>
        <v>14.679101049868768</v>
      </c>
    </row>
    <row r="7" spans="1:10" x14ac:dyDescent="0.3">
      <c r="A7">
        <f>90-18+$H$4</f>
        <v>75.2</v>
      </c>
      <c r="B7">
        <f>70.9-18+H5</f>
        <v>54.400000000000006</v>
      </c>
      <c r="C7">
        <f>36.3-18+H5</f>
        <v>19.799999999999997</v>
      </c>
      <c r="D7">
        <f t="shared" si="0"/>
        <v>34.600000000000009</v>
      </c>
      <c r="E7">
        <v>0.45</v>
      </c>
      <c r="F7">
        <v>2.88</v>
      </c>
      <c r="G7">
        <v>7</v>
      </c>
      <c r="J7">
        <f t="shared" si="1"/>
        <v>14.820079787234043</v>
      </c>
    </row>
    <row r="8" spans="1:10" x14ac:dyDescent="0.3">
      <c r="A8">
        <f>89-18+$H$4</f>
        <v>74.2</v>
      </c>
      <c r="B8">
        <f>70-18+H5</f>
        <v>53.5</v>
      </c>
      <c r="C8">
        <f>36.4-18+H5</f>
        <v>19.899999999999999</v>
      </c>
      <c r="D8">
        <f t="shared" si="0"/>
        <v>33.6</v>
      </c>
      <c r="E8">
        <v>0.45</v>
      </c>
      <c r="F8">
        <v>2.76</v>
      </c>
      <c r="G8">
        <v>8</v>
      </c>
      <c r="J8">
        <f t="shared" si="1"/>
        <v>14.746226415094339</v>
      </c>
    </row>
    <row r="9" spans="1:10" x14ac:dyDescent="0.3">
      <c r="A9">
        <f>88-18+$H$4</f>
        <v>73.2</v>
      </c>
      <c r="B9">
        <f>69-18+H5</f>
        <v>52.5</v>
      </c>
      <c r="C9">
        <f>36.6-18+H5</f>
        <v>20.100000000000001</v>
      </c>
      <c r="D9">
        <f t="shared" si="0"/>
        <v>32.4</v>
      </c>
      <c r="E9">
        <v>0.45</v>
      </c>
      <c r="F9">
        <v>2.73</v>
      </c>
      <c r="G9">
        <v>9</v>
      </c>
      <c r="J9">
        <f t="shared" si="1"/>
        <v>14.714754098360658</v>
      </c>
    </row>
    <row r="10" spans="1:10" x14ac:dyDescent="0.3">
      <c r="A10">
        <f>87-18+$H$4</f>
        <v>72.2</v>
      </c>
      <c r="B10">
        <f>67.3-18+H5</f>
        <v>50.8</v>
      </c>
      <c r="C10">
        <f>36.8-18+H5</f>
        <v>20.299999999999997</v>
      </c>
      <c r="D10">
        <f t="shared" si="0"/>
        <v>30.5</v>
      </c>
      <c r="E10">
        <v>0.47</v>
      </c>
      <c r="F10">
        <v>2.6</v>
      </c>
      <c r="G10">
        <v>10</v>
      </c>
      <c r="J10">
        <f t="shared" si="1"/>
        <v>14.828912742382272</v>
      </c>
    </row>
    <row r="13" spans="1:10" x14ac:dyDescent="0.3">
      <c r="B13" t="s">
        <v>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19FCC9-D6BB-4816-A8EB-90D9EFBAD02B}">
  <dimension ref="A1:K27"/>
  <sheetViews>
    <sheetView zoomScale="74" workbookViewId="0">
      <selection activeCell="K29" sqref="K29"/>
    </sheetView>
  </sheetViews>
  <sheetFormatPr defaultColWidth="11.5546875" defaultRowHeight="14.4" x14ac:dyDescent="0.3"/>
  <cols>
    <col min="1" max="1" width="26" customWidth="1"/>
    <col min="2" max="2" width="25.21875" customWidth="1"/>
    <col min="3" max="3" width="24" customWidth="1"/>
    <col min="4" max="4" width="22.77734375" customWidth="1"/>
    <col min="5" max="5" width="24.21875" bestFit="1" customWidth="1"/>
    <col min="6" max="8" width="16.21875" customWidth="1"/>
    <col min="9" max="9" width="16.109375" customWidth="1"/>
    <col min="10" max="10" width="23" customWidth="1"/>
    <col min="11" max="11" width="21.77734375" customWidth="1"/>
  </cols>
  <sheetData>
    <row r="1" spans="1:11" x14ac:dyDescent="0.3">
      <c r="A1" s="5" t="s">
        <v>30</v>
      </c>
      <c r="B1" s="5" t="s">
        <v>31</v>
      </c>
      <c r="C1" s="5" t="s">
        <v>32</v>
      </c>
      <c r="D1" s="5" t="s">
        <v>33</v>
      </c>
      <c r="F1" s="6" t="s">
        <v>42</v>
      </c>
      <c r="G1" s="6" t="s">
        <v>23</v>
      </c>
      <c r="H1" s="6" t="s">
        <v>24</v>
      </c>
      <c r="I1" s="6" t="s">
        <v>25</v>
      </c>
      <c r="J1" t="s">
        <v>38</v>
      </c>
      <c r="K1" t="s">
        <v>34</v>
      </c>
    </row>
    <row r="2" spans="1:11" x14ac:dyDescent="0.3">
      <c r="A2" s="5">
        <v>18</v>
      </c>
      <c r="B2" s="5">
        <v>23</v>
      </c>
      <c r="C2" s="5">
        <v>52.2</v>
      </c>
      <c r="D2" s="5">
        <v>80.599999999999994</v>
      </c>
      <c r="F2" s="6">
        <v>34</v>
      </c>
      <c r="G2" s="6">
        <f>B2-A2+$A$18+$B$18</f>
        <v>7.3</v>
      </c>
      <c r="H2" s="6">
        <f>C2-B2-$B$18+$C$18</f>
        <v>29.200000000000003</v>
      </c>
      <c r="I2" s="6">
        <f>D2-C2-$C$18+$D$18</f>
        <v>29.29999999999999</v>
      </c>
      <c r="K2" t="s">
        <v>37</v>
      </c>
    </row>
    <row r="3" spans="1:11" x14ac:dyDescent="0.3">
      <c r="A3" s="5">
        <v>18</v>
      </c>
      <c r="B3" s="5">
        <v>23</v>
      </c>
      <c r="C3" s="5">
        <v>58</v>
      </c>
      <c r="D3" s="5">
        <v>76.599999999999994</v>
      </c>
      <c r="F3" s="6">
        <v>23</v>
      </c>
      <c r="G3" s="6">
        <f>B3-A3+$A$18+$B$18</f>
        <v>7.3</v>
      </c>
      <c r="H3" s="6">
        <f>C3-B3-$B$18+$C$18</f>
        <v>35</v>
      </c>
      <c r="I3" s="6">
        <f>D3-C3-$C$18+$D$18</f>
        <v>19.499999999999993</v>
      </c>
    </row>
    <row r="4" spans="1:11" x14ac:dyDescent="0.3">
      <c r="A4" s="5">
        <v>18</v>
      </c>
      <c r="B4" s="5">
        <v>23</v>
      </c>
      <c r="C4" s="5">
        <v>55</v>
      </c>
      <c r="D4" s="5">
        <v>75.900000000000006</v>
      </c>
      <c r="F4" s="6">
        <v>10.9</v>
      </c>
      <c r="G4" s="6">
        <f>B4-A4+$A$18+$B$18</f>
        <v>7.3</v>
      </c>
      <c r="H4" s="6">
        <f>C4-B4-$B$18+$C$18</f>
        <v>32</v>
      </c>
      <c r="I4" s="6">
        <f>D4-C4-$C$18+$D$18</f>
        <v>21.800000000000004</v>
      </c>
    </row>
    <row r="5" spans="1:11" x14ac:dyDescent="0.3">
      <c r="A5" s="5"/>
      <c r="B5" s="5"/>
      <c r="C5" s="5"/>
      <c r="D5" s="5"/>
      <c r="F5" s="6"/>
      <c r="G5" s="6"/>
      <c r="H5" s="6"/>
      <c r="I5" s="6"/>
    </row>
    <row r="6" spans="1:11" x14ac:dyDescent="0.3">
      <c r="A6" s="5" t="s">
        <v>30</v>
      </c>
      <c r="B6" s="5" t="s">
        <v>31</v>
      </c>
      <c r="C6" s="5" t="s">
        <v>32</v>
      </c>
      <c r="D6" s="5" t="s">
        <v>33</v>
      </c>
      <c r="F6" s="6" t="s">
        <v>42</v>
      </c>
      <c r="G6" s="6" t="s">
        <v>23</v>
      </c>
      <c r="H6" s="6" t="s">
        <v>24</v>
      </c>
      <c r="I6" s="6" t="s">
        <v>25</v>
      </c>
      <c r="J6" t="s">
        <v>39</v>
      </c>
      <c r="K6" t="s">
        <v>35</v>
      </c>
    </row>
    <row r="7" spans="1:11" x14ac:dyDescent="0.3">
      <c r="A7" s="5">
        <v>18</v>
      </c>
      <c r="B7" s="5">
        <v>23</v>
      </c>
      <c r="C7" s="5">
        <v>26.5</v>
      </c>
      <c r="D7" s="5">
        <v>30.7</v>
      </c>
      <c r="F7" s="6">
        <v>10</v>
      </c>
      <c r="G7" s="6">
        <f>B7-A7+$A$18+$B$18</f>
        <v>7.3</v>
      </c>
      <c r="H7" s="6">
        <f>C7-B7-$B$18+$C$18</f>
        <v>3.5</v>
      </c>
      <c r="I7" s="6">
        <f>D7-C7-$C$18+$D$18</f>
        <v>5.0999999999999996</v>
      </c>
      <c r="K7" t="s">
        <v>37</v>
      </c>
    </row>
    <row r="8" spans="1:11" x14ac:dyDescent="0.3">
      <c r="A8" s="5"/>
      <c r="B8" s="5"/>
      <c r="C8" s="5"/>
      <c r="D8" s="5"/>
      <c r="F8" s="6"/>
      <c r="G8" s="6"/>
      <c r="H8" s="6"/>
      <c r="I8" s="6"/>
    </row>
    <row r="9" spans="1:11" x14ac:dyDescent="0.3">
      <c r="A9" s="5" t="s">
        <v>30</v>
      </c>
      <c r="B9" s="5" t="s">
        <v>31</v>
      </c>
      <c r="C9" s="5" t="s">
        <v>32</v>
      </c>
      <c r="D9" s="5" t="s">
        <v>33</v>
      </c>
      <c r="F9" s="6" t="s">
        <v>42</v>
      </c>
      <c r="G9" s="6" t="s">
        <v>23</v>
      </c>
      <c r="H9" s="6" t="s">
        <v>24</v>
      </c>
      <c r="I9" s="6" t="s">
        <v>25</v>
      </c>
      <c r="J9" t="s">
        <v>39</v>
      </c>
      <c r="K9" t="s">
        <v>41</v>
      </c>
    </row>
    <row r="10" spans="1:11" x14ac:dyDescent="0.3">
      <c r="A10" s="5">
        <v>18</v>
      </c>
      <c r="B10" s="5">
        <v>33</v>
      </c>
      <c r="C10" s="5">
        <v>48.7</v>
      </c>
      <c r="D10" s="5">
        <v>57.6</v>
      </c>
      <c r="F10" s="6">
        <v>19</v>
      </c>
      <c r="G10" s="6">
        <f t="shared" ref="G10:G12" si="0">B10-A10+$A$23+$B$23</f>
        <v>17.3</v>
      </c>
      <c r="H10" s="6">
        <f t="shared" ref="H10:H12" si="1">C10-B10-$B$23+$C$23</f>
        <v>15.700000000000003</v>
      </c>
      <c r="I10" s="6">
        <f t="shared" ref="I10:I12" si="2">D10-C10-$C$23+$D$23</f>
        <v>9.7999999999999972</v>
      </c>
      <c r="K10" t="s">
        <v>40</v>
      </c>
    </row>
    <row r="11" spans="1:11" x14ac:dyDescent="0.3">
      <c r="A11" s="5">
        <v>18</v>
      </c>
      <c r="B11" s="5">
        <v>33</v>
      </c>
      <c r="C11" s="5">
        <v>51</v>
      </c>
      <c r="D11" s="5">
        <v>55</v>
      </c>
      <c r="F11" s="6">
        <v>14</v>
      </c>
      <c r="G11" s="6">
        <f t="shared" si="0"/>
        <v>17.3</v>
      </c>
      <c r="H11" s="6">
        <f t="shared" si="1"/>
        <v>18</v>
      </c>
      <c r="I11" s="6">
        <f t="shared" si="2"/>
        <v>4.9000000000000004</v>
      </c>
    </row>
    <row r="12" spans="1:11" x14ac:dyDescent="0.3">
      <c r="A12" s="5">
        <v>18</v>
      </c>
      <c r="B12" s="5">
        <v>33</v>
      </c>
      <c r="C12" s="5">
        <v>45.6</v>
      </c>
      <c r="D12" s="5">
        <v>75.599999999999994</v>
      </c>
      <c r="F12" s="6">
        <v>41</v>
      </c>
      <c r="G12" s="6">
        <f t="shared" si="0"/>
        <v>17.3</v>
      </c>
      <c r="H12" s="6">
        <f t="shared" si="1"/>
        <v>12.600000000000001</v>
      </c>
      <c r="I12" s="6">
        <f t="shared" si="2"/>
        <v>30.899999999999991</v>
      </c>
    </row>
    <row r="13" spans="1:11" x14ac:dyDescent="0.3">
      <c r="A13" s="5"/>
      <c r="B13" s="5"/>
      <c r="C13" s="5"/>
      <c r="D13" s="5"/>
      <c r="F13" s="6"/>
      <c r="G13" s="6"/>
      <c r="H13" s="6"/>
      <c r="I13" s="6"/>
    </row>
    <row r="14" spans="1:11" x14ac:dyDescent="0.3">
      <c r="A14" s="5" t="s">
        <v>30</v>
      </c>
      <c r="B14" s="5" t="s">
        <v>31</v>
      </c>
      <c r="C14" s="5" t="s">
        <v>32</v>
      </c>
      <c r="D14" s="5" t="s">
        <v>33</v>
      </c>
      <c r="F14" s="6" t="s">
        <v>42</v>
      </c>
      <c r="G14" s="6" t="s">
        <v>23</v>
      </c>
      <c r="H14" s="6" t="s">
        <v>24</v>
      </c>
      <c r="I14" s="6" t="s">
        <v>25</v>
      </c>
      <c r="K14" t="s">
        <v>36</v>
      </c>
    </row>
    <row r="15" spans="1:11" x14ac:dyDescent="0.3">
      <c r="A15" s="5">
        <v>18</v>
      </c>
      <c r="B15" s="5">
        <v>33</v>
      </c>
      <c r="C15" s="5">
        <v>0</v>
      </c>
      <c r="D15" s="5">
        <v>0</v>
      </c>
      <c r="F15" s="6"/>
      <c r="G15" s="6">
        <f>B15-A15+$A$23+$B$23</f>
        <v>17.3</v>
      </c>
      <c r="H15" s="6">
        <f>C15-B15-$B$23+$C$23</f>
        <v>-33</v>
      </c>
      <c r="I15" s="6">
        <f>D15-C15-$C$23+$D$23</f>
        <v>0.89999999999999991</v>
      </c>
      <c r="K15" t="s">
        <v>40</v>
      </c>
    </row>
    <row r="16" spans="1:11" x14ac:dyDescent="0.3">
      <c r="F16" s="6"/>
      <c r="G16" s="6"/>
      <c r="H16" s="6"/>
      <c r="I16" s="6"/>
    </row>
    <row r="17" spans="1:5" x14ac:dyDescent="0.3">
      <c r="A17" s="5" t="s">
        <v>26</v>
      </c>
      <c r="B17" s="5" t="s">
        <v>27</v>
      </c>
      <c r="C17" s="5" t="s">
        <v>28</v>
      </c>
      <c r="D17" s="5" t="s">
        <v>29</v>
      </c>
      <c r="E17" s="5" t="s">
        <v>45</v>
      </c>
    </row>
    <row r="18" spans="1:5" x14ac:dyDescent="0.3">
      <c r="A18" s="5">
        <v>1.5</v>
      </c>
      <c r="B18" s="5">
        <v>0.8</v>
      </c>
      <c r="C18" s="5">
        <v>0.8</v>
      </c>
      <c r="D18" s="5">
        <v>1.7</v>
      </c>
      <c r="E18" s="5"/>
    </row>
    <row r="20" spans="1:5" x14ac:dyDescent="0.3">
      <c r="A20" t="s">
        <v>22</v>
      </c>
    </row>
    <row r="22" spans="1:5" x14ac:dyDescent="0.3">
      <c r="A22" s="5" t="s">
        <v>26</v>
      </c>
      <c r="B22" s="5" t="s">
        <v>27</v>
      </c>
      <c r="C22" s="5" t="s">
        <v>28</v>
      </c>
      <c r="D22" s="5" t="s">
        <v>29</v>
      </c>
      <c r="E22" t="s">
        <v>46</v>
      </c>
    </row>
    <row r="23" spans="1:5" x14ac:dyDescent="0.3">
      <c r="A23" s="5">
        <v>1.5</v>
      </c>
      <c r="B23" s="5">
        <v>0.8</v>
      </c>
      <c r="C23" s="5">
        <v>0.8</v>
      </c>
      <c r="D23" s="5">
        <v>1.7</v>
      </c>
    </row>
    <row r="26" spans="1:5" x14ac:dyDescent="0.3">
      <c r="A26" t="s">
        <v>43</v>
      </c>
    </row>
    <row r="27" spans="1:5" x14ac:dyDescent="0.3">
      <c r="A27" t="s">
        <v>44</v>
      </c>
    </row>
  </sheetData>
  <pageMargins left="0.7" right="0.7" top="0.75" bottom="0.75" header="0.3" footer="0.3"/>
  <tableParts count="10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CB78B0-80A8-4BB2-BD4A-7B706C61FABA}">
  <dimension ref="A1"/>
  <sheetViews>
    <sheetView workbookViewId="0"/>
  </sheetViews>
  <sheetFormatPr defaultColWidth="11.5546875"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1. a.</vt:lpstr>
      <vt:lpstr>1. b. </vt:lpstr>
      <vt:lpstr>1. c. </vt:lpstr>
      <vt:lpstr>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Saura Gauthier</dc:creator>
  <cp:lastModifiedBy>Rozier Vilardell Guilhem</cp:lastModifiedBy>
  <dcterms:created xsi:type="dcterms:W3CDTF">2026-05-13T06:18:47Z</dcterms:created>
  <dcterms:modified xsi:type="dcterms:W3CDTF">2026-06-07T14:40:46Z</dcterms:modified>
</cp:coreProperties>
</file>