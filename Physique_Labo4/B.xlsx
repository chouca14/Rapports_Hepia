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ste\Rapports_Hepia\Physique_Labo4\"/>
    </mc:Choice>
  </mc:AlternateContent>
  <xr:revisionPtr revIDLastSave="0" documentId="13_ncr:1_{CD659519-DC71-4749-A1F1-8365431522A3}" xr6:coauthVersionLast="47" xr6:coauthVersionMax="47" xr10:uidLastSave="{00000000-0000-0000-0000-000000000000}"/>
  <bookViews>
    <workbookView xWindow="28665" yWindow="-135" windowWidth="29070" windowHeight="15750" activeTab="3" xr2:uid="{DEE30310-7491-42BE-B041-B6F456BE4868}"/>
  </bookViews>
  <sheets>
    <sheet name="1. a." sheetId="1" r:id="rId1"/>
    <sheet name="1. b. " sheetId="2" r:id="rId2"/>
    <sheet name="1. c." sheetId="5" r:id="rId3"/>
    <sheet name="2" sheetId="4" r:id="rId4"/>
    <sheet name="Sheet1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4" i="5" l="1"/>
  <c r="C20" i="5"/>
  <c r="F18" i="5"/>
  <c r="E18" i="5"/>
  <c r="C14" i="5"/>
  <c r="F14" i="5" s="1"/>
  <c r="J3" i="1" l="1"/>
  <c r="J4" i="1"/>
  <c r="J5" i="1"/>
  <c r="J6" i="1"/>
  <c r="J7" i="1"/>
  <c r="J8" i="1"/>
  <c r="J9" i="1"/>
  <c r="J10" i="1"/>
  <c r="J11" i="1"/>
  <c r="J2" i="1"/>
  <c r="E3" i="1"/>
  <c r="H3" i="1" s="1"/>
  <c r="E4" i="1"/>
  <c r="E5" i="1"/>
  <c r="H5" i="1" s="1"/>
  <c r="E6" i="1"/>
  <c r="H6" i="1" s="1"/>
  <c r="E7" i="1"/>
  <c r="H7" i="1" s="1"/>
  <c r="E8" i="1"/>
  <c r="H8" i="1" s="1"/>
  <c r="E9" i="1"/>
  <c r="H9" i="1" s="1"/>
  <c r="E10" i="1"/>
  <c r="H10" i="1" s="1"/>
  <c r="E11" i="1"/>
  <c r="H11" i="1" s="1"/>
  <c r="A10" i="4"/>
  <c r="F6" i="4"/>
  <c r="A11" i="4"/>
  <c r="A9" i="4"/>
  <c r="A8" i="4"/>
  <c r="B9" i="4"/>
  <c r="C9" i="4"/>
  <c r="E3" i="4"/>
  <c r="G3" i="4"/>
  <c r="F3" i="4"/>
  <c r="G2" i="4"/>
  <c r="F2" i="4"/>
  <c r="E2" i="4"/>
  <c r="C8" i="4"/>
  <c r="B8" i="4"/>
  <c r="C2" i="4"/>
  <c r="D2" i="2"/>
  <c r="F8" i="5"/>
  <c r="G8" i="5"/>
  <c r="F9" i="5"/>
  <c r="G9" i="5"/>
  <c r="F10" i="5"/>
  <c r="G10" i="5"/>
  <c r="F6" i="5"/>
  <c r="H6" i="5"/>
  <c r="H8" i="5"/>
  <c r="H9" i="5"/>
  <c r="H10" i="5"/>
  <c r="F3" i="5"/>
  <c r="G3" i="5"/>
  <c r="H3" i="5"/>
  <c r="F4" i="5"/>
  <c r="G4" i="5"/>
  <c r="H4" i="5"/>
  <c r="F2" i="5"/>
  <c r="G2" i="5"/>
  <c r="H2" i="5"/>
  <c r="D3" i="2"/>
  <c r="F3" i="2"/>
  <c r="F2" i="2"/>
  <c r="D4" i="2"/>
  <c r="F4" i="2"/>
  <c r="D5" i="2"/>
  <c r="F5" i="2"/>
  <c r="D6" i="2"/>
  <c r="F6" i="2"/>
  <c r="D7" i="2"/>
  <c r="F7" i="2"/>
  <c r="D8" i="2"/>
  <c r="F8" i="2"/>
  <c r="D9" i="2"/>
  <c r="F9" i="2"/>
  <c r="D10" i="2"/>
  <c r="F10" i="2"/>
  <c r="H4" i="1"/>
  <c r="G3" i="1"/>
  <c r="G4" i="1"/>
  <c r="G5" i="1"/>
  <c r="G6" i="1"/>
  <c r="G7" i="1"/>
  <c r="G8" i="1"/>
  <c r="G9" i="1"/>
  <c r="G10" i="1"/>
  <c r="G11" i="1"/>
  <c r="C3" i="1"/>
  <c r="I3" i="1" s="1"/>
  <c r="C4" i="1"/>
  <c r="I4" i="1" s="1"/>
  <c r="C5" i="1"/>
  <c r="I5" i="1" s="1"/>
  <c r="C6" i="1"/>
  <c r="I6" i="1" s="1"/>
  <c r="C7" i="1"/>
  <c r="I7" i="1" s="1"/>
  <c r="C8" i="1"/>
  <c r="I8" i="1" s="1"/>
  <c r="C9" i="1"/>
  <c r="I9" i="1" s="1"/>
  <c r="C10" i="1"/>
  <c r="C11" i="1"/>
  <c r="I11" i="1" s="1"/>
  <c r="C2" i="1"/>
  <c r="E2" i="1"/>
  <c r="H2" i="1" s="1"/>
  <c r="G2" i="1"/>
  <c r="I2" i="1"/>
  <c r="I10" i="1"/>
</calcChain>
</file>

<file path=xl/sharedStrings.xml><?xml version="1.0" encoding="utf-8"?>
<sst xmlns="http://schemas.openxmlformats.org/spreadsheetml/2006/main" count="64" uniqueCount="50">
  <si>
    <t>f</t>
  </si>
  <si>
    <t>f / cm</t>
  </si>
  <si>
    <t>γ</t>
  </si>
  <si>
    <t>1/q</t>
  </si>
  <si>
    <t>"-1/p"</t>
  </si>
  <si>
    <t xml:space="preserve">p avec offset/ cm </t>
  </si>
  <si>
    <t>Taille F / cm  +/-0,1</t>
  </si>
  <si>
    <t>offset q / cm  +/-0,1</t>
  </si>
  <si>
    <t>offset p / cm  +/-0,1</t>
  </si>
  <si>
    <t>mesure p</t>
  </si>
  <si>
    <t xml:space="preserve">q avec offset / cm </t>
  </si>
  <si>
    <t>mesure q / cm +/- 0,2</t>
  </si>
  <si>
    <t>A1B1 / cm +/- 0,1</t>
  </si>
  <si>
    <t>D</t>
  </si>
  <si>
    <t>p1</t>
  </si>
  <si>
    <t>p2</t>
  </si>
  <si>
    <t>d</t>
  </si>
  <si>
    <t>P1</t>
  </si>
  <si>
    <t xml:space="preserve">Faire une regression, pour trouver f  </t>
  </si>
  <si>
    <t xml:space="preserve">Regression pas forcément lineraire </t>
  </si>
  <si>
    <t>Q1, P2</t>
  </si>
  <si>
    <t>Q2</t>
  </si>
  <si>
    <t>D1</t>
  </si>
  <si>
    <t>D2</t>
  </si>
  <si>
    <t>D3</t>
  </si>
  <si>
    <t>G</t>
  </si>
  <si>
    <t>Offset</t>
  </si>
  <si>
    <t>Collées</t>
  </si>
  <si>
    <t>2 convergente</t>
  </si>
  <si>
    <t>2 collées</t>
  </si>
  <si>
    <t>Convergente + divergente</t>
  </si>
  <si>
    <t>Q1 Dist image nette</t>
  </si>
  <si>
    <t>P1 Dist lentille 50mm</t>
  </si>
  <si>
    <t>P2 Dist entre lentille 50mm et 150mm</t>
  </si>
  <si>
    <t>Alpha</t>
  </si>
  <si>
    <t>Beta</t>
  </si>
  <si>
    <t xml:space="preserve">Œil nu </t>
  </si>
  <si>
    <t>Microscope</t>
  </si>
  <si>
    <t xml:space="preserve">Grandissement de l image intermédiaire </t>
  </si>
  <si>
    <t>Grandissement microscope</t>
  </si>
  <si>
    <t>Q2 Dist oeil plan</t>
  </si>
  <si>
    <t xml:space="preserve">Grandissement </t>
  </si>
  <si>
    <t>Grossissement theorique</t>
  </si>
  <si>
    <t>f1</t>
  </si>
  <si>
    <t>f2</t>
  </si>
  <si>
    <t>g</t>
  </si>
  <si>
    <t>q1</t>
  </si>
  <si>
    <t>q2</t>
  </si>
  <si>
    <t>feq avec d=0</t>
  </si>
  <si>
    <t>feq avec d=8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</si>
</sst>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6384251968503939"/>
                  <c:y val="-4.629629629629629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'1. a.'!$I$2:$I$11</c:f>
              <c:numCache>
                <c:formatCode>0.00000</c:formatCode>
                <c:ptCount val="10"/>
                <c:pt idx="0">
                  <c:v>-0.10526315789473684</c:v>
                </c:pt>
                <c:pt idx="1">
                  <c:v>-0.1</c:v>
                </c:pt>
                <c:pt idx="2">
                  <c:v>-9.5238095238095233E-2</c:v>
                </c:pt>
                <c:pt idx="3">
                  <c:v>-9.0909090909090912E-2</c:v>
                </c:pt>
                <c:pt idx="4">
                  <c:v>-8.6956521739130432E-2</c:v>
                </c:pt>
                <c:pt idx="5">
                  <c:v>-8.3333333333333329E-2</c:v>
                </c:pt>
                <c:pt idx="6">
                  <c:v>-0.08</c:v>
                </c:pt>
                <c:pt idx="7">
                  <c:v>-7.6923076923076927E-2</c:v>
                </c:pt>
                <c:pt idx="8">
                  <c:v>-7.3529411764705885E-2</c:v>
                </c:pt>
                <c:pt idx="9">
                  <c:v>-7.1428571428571425E-2</c:v>
                </c:pt>
              </c:numCache>
            </c:numRef>
          </c:xVal>
          <c:yVal>
            <c:numRef>
              <c:f>'1. a.'!$H$2:$H$11</c:f>
              <c:numCache>
                <c:formatCode>0.00000</c:formatCode>
                <c:ptCount val="10"/>
                <c:pt idx="0">
                  <c:v>1.5197568389057751E-2</c:v>
                </c:pt>
                <c:pt idx="1">
                  <c:v>1.953125E-2</c:v>
                </c:pt>
                <c:pt idx="2">
                  <c:v>2.2675736961451247E-2</c:v>
                </c:pt>
                <c:pt idx="3">
                  <c:v>2.6109660574412535E-2</c:v>
                </c:pt>
                <c:pt idx="4">
                  <c:v>2.8735632183908049E-2</c:v>
                </c:pt>
                <c:pt idx="5">
                  <c:v>3.1948881789137386E-2</c:v>
                </c:pt>
                <c:pt idx="6">
                  <c:v>3.5211267605633804E-2</c:v>
                </c:pt>
                <c:pt idx="7">
                  <c:v>3.7593984962406013E-2</c:v>
                </c:pt>
                <c:pt idx="8">
                  <c:v>3.9840637450199202E-2</c:v>
                </c:pt>
                <c:pt idx="9">
                  <c:v>4.2194092827004218E-2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A2-43A8-A9BD-BFDF7411A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1640047"/>
        <c:axId val="971916719"/>
      </c:scatterChart>
      <c:valAx>
        <c:axId val="1311640047"/>
        <c:scaling>
          <c:orientation val="minMax"/>
          <c:max val="-5.5000000000000007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-1/p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1916719"/>
        <c:crosses val="autoZero"/>
        <c:crossBetween val="midCat"/>
      </c:valAx>
      <c:valAx>
        <c:axId val="97191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1/q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11640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</xdr:row>
      <xdr:rowOff>180974</xdr:rowOff>
    </xdr:from>
    <xdr:to>
      <xdr:col>11</xdr:col>
      <xdr:colOff>571500</xdr:colOff>
      <xdr:row>32</xdr:row>
      <xdr:rowOff>28574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6FFB81D-0168-2A8B-ABDA-B56466E0DC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22F5E5A-B9A2-406F-BA6A-EF28AC2266D9}">
  <we:reference id="wa200010725" version="1.0.0.1" store="en-GB" storeType="OMEX"/>
  <we:alternateReferences>
    <we:reference id="WA200010725" version="1.0.0.1" store="WA200010725" storeType="OMEX"/>
  </we:alternateReferences>
  <we:properties>
    <we:property name="claude.fileId" value="&quot;5dea835c-7362-4c99-a162-b94072246ea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25770-EA76-4506-A734-BAE07008998F}">
  <dimension ref="A1:J14"/>
  <sheetViews>
    <sheetView workbookViewId="0">
      <selection activeCell="K2" sqref="K2"/>
    </sheetView>
  </sheetViews>
  <sheetFormatPr defaultColWidth="10.77734375" defaultRowHeight="14.4" x14ac:dyDescent="0.3"/>
  <cols>
    <col min="1" max="1" width="17.33203125" bestFit="1" customWidth="1"/>
    <col min="3" max="3" width="14.88671875" bestFit="1" customWidth="1"/>
    <col min="4" max="4" width="17.77734375" hidden="1" customWidth="1"/>
    <col min="5" max="5" width="15.33203125" bestFit="1" customWidth="1"/>
    <col min="6" max="6" width="0" hidden="1" customWidth="1"/>
    <col min="8" max="8" width="11.33203125" bestFit="1" customWidth="1"/>
    <col min="9" max="9" width="12" bestFit="1" customWidth="1"/>
  </cols>
  <sheetData>
    <row r="1" spans="1:10" x14ac:dyDescent="0.3">
      <c r="A1" t="s">
        <v>1</v>
      </c>
      <c r="B1" t="s">
        <v>9</v>
      </c>
      <c r="C1" t="s">
        <v>5</v>
      </c>
      <c r="D1" t="s">
        <v>11</v>
      </c>
      <c r="E1" t="s">
        <v>10</v>
      </c>
      <c r="F1" t="s">
        <v>12</v>
      </c>
      <c r="G1" s="1" t="s">
        <v>2</v>
      </c>
      <c r="H1" s="1" t="s">
        <v>3</v>
      </c>
      <c r="I1" t="s">
        <v>4</v>
      </c>
      <c r="J1" t="s">
        <v>0</v>
      </c>
    </row>
    <row r="2" spans="1:10" x14ac:dyDescent="0.3">
      <c r="A2">
        <v>10</v>
      </c>
      <c r="B2" s="5">
        <v>10</v>
      </c>
      <c r="C2" s="2">
        <f>B2+$A$4</f>
        <v>9.5</v>
      </c>
      <c r="D2" s="5">
        <v>69.3</v>
      </c>
      <c r="E2" s="2">
        <f>D2-$A$6</f>
        <v>65.8</v>
      </c>
      <c r="F2" s="5">
        <v>5.9</v>
      </c>
      <c r="G2">
        <f>F2/$A$8</f>
        <v>5.9</v>
      </c>
      <c r="H2" s="3">
        <f>1/E2</f>
        <v>1.5197568389057751E-2</v>
      </c>
      <c r="I2" s="3">
        <f>-1/C2</f>
        <v>-0.10526315789473684</v>
      </c>
      <c r="J2">
        <f>1/(H2-I2)</f>
        <v>8.3014608233731746</v>
      </c>
    </row>
    <row r="3" spans="1:10" x14ac:dyDescent="0.3">
      <c r="A3" t="s">
        <v>8</v>
      </c>
      <c r="B3" s="5">
        <v>10.5</v>
      </c>
      <c r="C3" s="2">
        <f t="shared" ref="C3:C11" si="0">B3+$A$4</f>
        <v>10</v>
      </c>
      <c r="D3" s="5">
        <v>54.7</v>
      </c>
      <c r="E3" s="2">
        <f t="shared" ref="E3:E10" si="1">D3-$A$6</f>
        <v>51.2</v>
      </c>
      <c r="F3" s="5">
        <v>4.5</v>
      </c>
      <c r="G3">
        <f t="shared" ref="G3:G11" si="2">F3/$A$8</f>
        <v>4.5</v>
      </c>
      <c r="H3" s="3">
        <f t="shared" ref="H3:H11" si="3">1/E3</f>
        <v>1.953125E-2</v>
      </c>
      <c r="I3" s="3">
        <f t="shared" ref="I3:I11" si="4">-1/C3</f>
        <v>-0.1</v>
      </c>
      <c r="J3">
        <f t="shared" ref="J3:J11" si="5">1/(H3-I3)</f>
        <v>8.3660130718954253</v>
      </c>
    </row>
    <row r="4" spans="1:10" x14ac:dyDescent="0.3">
      <c r="A4" s="2">
        <v>-0.5</v>
      </c>
      <c r="B4" s="5">
        <v>11</v>
      </c>
      <c r="C4" s="2">
        <f t="shared" si="0"/>
        <v>10.5</v>
      </c>
      <c r="D4" s="5">
        <v>47.6</v>
      </c>
      <c r="E4" s="2">
        <f>D4-$A$6</f>
        <v>44.1</v>
      </c>
      <c r="F4" s="5">
        <v>3.8</v>
      </c>
      <c r="G4">
        <f t="shared" si="2"/>
        <v>3.8</v>
      </c>
      <c r="H4" s="3">
        <f t="shared" si="3"/>
        <v>2.2675736961451247E-2</v>
      </c>
      <c r="I4" s="3">
        <f t="shared" si="4"/>
        <v>-9.5238095238095233E-2</v>
      </c>
      <c r="J4">
        <f t="shared" si="5"/>
        <v>8.4807692307692299</v>
      </c>
    </row>
    <row r="5" spans="1:10" x14ac:dyDescent="0.3">
      <c r="A5" t="s">
        <v>7</v>
      </c>
      <c r="B5" s="5">
        <v>11.5</v>
      </c>
      <c r="C5" s="2">
        <f t="shared" si="0"/>
        <v>11</v>
      </c>
      <c r="D5" s="5">
        <v>41.8</v>
      </c>
      <c r="E5" s="2">
        <f t="shared" si="1"/>
        <v>38.299999999999997</v>
      </c>
      <c r="F5" s="5">
        <v>3.1</v>
      </c>
      <c r="G5">
        <f t="shared" si="2"/>
        <v>3.1</v>
      </c>
      <c r="H5" s="3">
        <f t="shared" si="3"/>
        <v>2.6109660574412535E-2</v>
      </c>
      <c r="I5" s="3">
        <f t="shared" si="4"/>
        <v>-9.0909090909090912E-2</v>
      </c>
      <c r="J5">
        <f t="shared" si="5"/>
        <v>8.5456389452332644</v>
      </c>
    </row>
    <row r="6" spans="1:10" x14ac:dyDescent="0.3">
      <c r="A6" s="2">
        <v>3.5</v>
      </c>
      <c r="B6" s="5">
        <v>12</v>
      </c>
      <c r="C6" s="2">
        <f t="shared" si="0"/>
        <v>11.5</v>
      </c>
      <c r="D6" s="5">
        <v>38.299999999999997</v>
      </c>
      <c r="E6" s="2">
        <f t="shared" si="1"/>
        <v>34.799999999999997</v>
      </c>
      <c r="F6" s="5">
        <v>2.9</v>
      </c>
      <c r="G6">
        <f t="shared" si="2"/>
        <v>2.9</v>
      </c>
      <c r="H6" s="3">
        <f t="shared" si="3"/>
        <v>2.8735632183908049E-2</v>
      </c>
      <c r="I6" s="3">
        <f t="shared" si="4"/>
        <v>-8.6956521739130432E-2</v>
      </c>
      <c r="J6">
        <f t="shared" si="5"/>
        <v>8.6436285097192229</v>
      </c>
    </row>
    <row r="7" spans="1:10" x14ac:dyDescent="0.3">
      <c r="A7" t="s">
        <v>6</v>
      </c>
      <c r="B7" s="5">
        <v>12.5</v>
      </c>
      <c r="C7" s="2">
        <f t="shared" si="0"/>
        <v>12</v>
      </c>
      <c r="D7" s="5">
        <v>34.799999999999997</v>
      </c>
      <c r="E7" s="2">
        <f t="shared" si="1"/>
        <v>31.299999999999997</v>
      </c>
      <c r="F7" s="5">
        <v>2.4</v>
      </c>
      <c r="G7">
        <f t="shared" si="2"/>
        <v>2.4</v>
      </c>
      <c r="H7" s="3">
        <f t="shared" si="3"/>
        <v>3.1948881789137386E-2</v>
      </c>
      <c r="I7" s="3">
        <f t="shared" si="4"/>
        <v>-8.3333333333333329E-2</v>
      </c>
      <c r="J7">
        <f t="shared" si="5"/>
        <v>8.6743648960739019</v>
      </c>
    </row>
    <row r="8" spans="1:10" x14ac:dyDescent="0.3">
      <c r="A8">
        <v>1</v>
      </c>
      <c r="B8" s="5">
        <v>13</v>
      </c>
      <c r="C8" s="2">
        <f t="shared" si="0"/>
        <v>12.5</v>
      </c>
      <c r="D8" s="5">
        <v>31.9</v>
      </c>
      <c r="E8" s="2">
        <f t="shared" si="1"/>
        <v>28.4</v>
      </c>
      <c r="F8" s="5">
        <v>2.1</v>
      </c>
      <c r="G8">
        <f t="shared" si="2"/>
        <v>2.1</v>
      </c>
      <c r="H8" s="3">
        <f t="shared" si="3"/>
        <v>3.5211267605633804E-2</v>
      </c>
      <c r="I8" s="3">
        <f t="shared" si="4"/>
        <v>-0.08</v>
      </c>
      <c r="J8">
        <f t="shared" si="5"/>
        <v>8.679706601466993</v>
      </c>
    </row>
    <row r="9" spans="1:10" x14ac:dyDescent="0.3">
      <c r="B9" s="5">
        <v>13.5</v>
      </c>
      <c r="C9" s="2">
        <f t="shared" si="0"/>
        <v>13</v>
      </c>
      <c r="D9" s="5">
        <v>30.1</v>
      </c>
      <c r="E9" s="2">
        <f t="shared" si="1"/>
        <v>26.6</v>
      </c>
      <c r="F9" s="5">
        <v>1.9</v>
      </c>
      <c r="G9">
        <f t="shared" si="2"/>
        <v>1.9</v>
      </c>
      <c r="H9" s="3">
        <f t="shared" si="3"/>
        <v>3.7593984962406013E-2</v>
      </c>
      <c r="I9" s="3">
        <f t="shared" si="4"/>
        <v>-7.6923076923076927E-2</v>
      </c>
      <c r="J9">
        <f t="shared" si="5"/>
        <v>8.7323232323232318</v>
      </c>
    </row>
    <row r="10" spans="1:10" x14ac:dyDescent="0.3">
      <c r="B10" s="5">
        <v>14.1</v>
      </c>
      <c r="C10" s="2">
        <f t="shared" si="0"/>
        <v>13.6</v>
      </c>
      <c r="D10" s="5">
        <v>28.6</v>
      </c>
      <c r="E10" s="2">
        <f t="shared" si="1"/>
        <v>25.1</v>
      </c>
      <c r="F10" s="5">
        <v>1.8</v>
      </c>
      <c r="G10">
        <f t="shared" si="2"/>
        <v>1.8</v>
      </c>
      <c r="H10" s="3">
        <f t="shared" si="3"/>
        <v>3.9840637450199202E-2</v>
      </c>
      <c r="I10" s="3">
        <f t="shared" si="4"/>
        <v>-7.3529411764705885E-2</v>
      </c>
      <c r="J10">
        <f t="shared" si="5"/>
        <v>8.8206718346253226</v>
      </c>
    </row>
    <row r="11" spans="1:10" x14ac:dyDescent="0.3">
      <c r="B11" s="5">
        <v>14.5</v>
      </c>
      <c r="C11" s="2">
        <f t="shared" si="0"/>
        <v>14</v>
      </c>
      <c r="D11" s="5">
        <v>27.2</v>
      </c>
      <c r="E11" s="2">
        <f>D11-$A$6</f>
        <v>23.7</v>
      </c>
      <c r="F11" s="5">
        <v>1.6</v>
      </c>
      <c r="G11">
        <f t="shared" si="2"/>
        <v>1.6</v>
      </c>
      <c r="H11" s="3">
        <f t="shared" si="3"/>
        <v>4.2194092827004218E-2</v>
      </c>
      <c r="I11" s="3">
        <f t="shared" si="4"/>
        <v>-7.1428571428571425E-2</v>
      </c>
      <c r="J11">
        <f t="shared" si="5"/>
        <v>8.8010610079575606</v>
      </c>
    </row>
    <row r="14" spans="1:10" x14ac:dyDescent="0.3">
      <c r="A14" s="4"/>
      <c r="B14" s="4"/>
      <c r="C14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72012-6705-4A70-89AF-614572F65ABB}">
  <dimension ref="A1:F14"/>
  <sheetViews>
    <sheetView workbookViewId="0">
      <selection activeCell="F15" sqref="F15"/>
    </sheetView>
  </sheetViews>
  <sheetFormatPr defaultColWidth="10.77734375" defaultRowHeight="14.4" x14ac:dyDescent="0.3"/>
  <sheetData>
    <row r="1" spans="1:6" x14ac:dyDescent="0.3">
      <c r="A1" t="s">
        <v>13</v>
      </c>
      <c r="B1" t="s">
        <v>14</v>
      </c>
      <c r="C1" t="s">
        <v>15</v>
      </c>
      <c r="D1" t="s">
        <v>16</v>
      </c>
      <c r="F1" t="s">
        <v>0</v>
      </c>
    </row>
    <row r="2" spans="1:6" x14ac:dyDescent="0.3">
      <c r="A2">
        <v>77.7</v>
      </c>
      <c r="B2">
        <v>56.1</v>
      </c>
      <c r="C2">
        <v>17.8</v>
      </c>
      <c r="D2">
        <f t="shared" ref="D2:D10" si="0">B2-C2</f>
        <v>38.299999999999997</v>
      </c>
      <c r="F2">
        <f t="shared" ref="F2:F10" si="1">((A2^2) - (D2^2))/(4*A2)</f>
        <v>14.705276705276709</v>
      </c>
    </row>
    <row r="3" spans="1:6" x14ac:dyDescent="0.3">
      <c r="A3">
        <v>77</v>
      </c>
      <c r="B3">
        <v>55.1</v>
      </c>
      <c r="C3">
        <v>17.8</v>
      </c>
      <c r="D3">
        <f t="shared" si="0"/>
        <v>37.299999999999997</v>
      </c>
      <c r="F3">
        <f t="shared" si="1"/>
        <v>14.732824675324675</v>
      </c>
    </row>
    <row r="4" spans="1:6" x14ac:dyDescent="0.3">
      <c r="A4">
        <v>76</v>
      </c>
      <c r="B4">
        <v>54.2</v>
      </c>
      <c r="C4">
        <v>18.100000000000001</v>
      </c>
      <c r="D4">
        <f t="shared" si="0"/>
        <v>36.1</v>
      </c>
      <c r="F4">
        <f t="shared" si="1"/>
        <v>14.713125</v>
      </c>
    </row>
    <row r="5" spans="1:6" x14ac:dyDescent="0.3">
      <c r="A5">
        <v>75</v>
      </c>
      <c r="B5">
        <v>52.8</v>
      </c>
      <c r="C5">
        <v>18.2</v>
      </c>
      <c r="D5">
        <f t="shared" si="0"/>
        <v>34.599999999999994</v>
      </c>
      <c r="F5">
        <f t="shared" si="1"/>
        <v>14.759466666666667</v>
      </c>
    </row>
    <row r="6" spans="1:6" x14ac:dyDescent="0.3">
      <c r="A6">
        <v>74</v>
      </c>
      <c r="B6">
        <v>51.7</v>
      </c>
      <c r="C6">
        <v>18.399999999999999</v>
      </c>
      <c r="D6">
        <f t="shared" si="0"/>
        <v>33.300000000000004</v>
      </c>
      <c r="F6">
        <f t="shared" si="1"/>
        <v>14.753749999999998</v>
      </c>
    </row>
    <row r="7" spans="1:6" x14ac:dyDescent="0.3">
      <c r="A7">
        <v>73</v>
      </c>
      <c r="B7">
        <v>50.8</v>
      </c>
      <c r="C7">
        <v>18.5</v>
      </c>
      <c r="D7">
        <f t="shared" si="0"/>
        <v>32.299999999999997</v>
      </c>
      <c r="F7">
        <f t="shared" si="1"/>
        <v>14.67708904109589</v>
      </c>
    </row>
    <row r="8" spans="1:6" x14ac:dyDescent="0.3">
      <c r="A8">
        <v>72</v>
      </c>
      <c r="B8">
        <v>49.5</v>
      </c>
      <c r="C8">
        <v>18.8</v>
      </c>
      <c r="D8">
        <f t="shared" si="0"/>
        <v>30.7</v>
      </c>
      <c r="F8">
        <f t="shared" si="1"/>
        <v>14.727465277777778</v>
      </c>
    </row>
    <row r="9" spans="1:6" x14ac:dyDescent="0.3">
      <c r="A9">
        <v>71</v>
      </c>
      <c r="B9">
        <v>48.4</v>
      </c>
      <c r="C9">
        <v>19</v>
      </c>
      <c r="D9">
        <f t="shared" si="0"/>
        <v>29.4</v>
      </c>
      <c r="F9">
        <f t="shared" si="1"/>
        <v>14.706478873239437</v>
      </c>
    </row>
    <row r="10" spans="1:6" x14ac:dyDescent="0.3">
      <c r="A10">
        <v>70</v>
      </c>
      <c r="B10">
        <v>46.9</v>
      </c>
      <c r="C10">
        <v>19.100000000000001</v>
      </c>
      <c r="D10">
        <f t="shared" si="0"/>
        <v>27.799999999999997</v>
      </c>
      <c r="F10">
        <f t="shared" si="1"/>
        <v>14.739857142857142</v>
      </c>
    </row>
    <row r="13" spans="1:6" x14ac:dyDescent="0.3">
      <c r="B13" t="s">
        <v>18</v>
      </c>
    </row>
    <row r="14" spans="1:6" x14ac:dyDescent="0.3">
      <c r="B1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0D025-052D-EC40-843C-55243FC31487}">
  <dimension ref="A1:M20"/>
  <sheetViews>
    <sheetView zoomScaleNormal="150" zoomScaleSheetLayoutView="100" workbookViewId="0">
      <selection activeCell="A23" sqref="A23"/>
    </sheetView>
  </sheetViews>
  <sheetFormatPr defaultRowHeight="14.4" x14ac:dyDescent="0.3"/>
  <cols>
    <col min="1" max="1" width="21" bestFit="1" customWidth="1"/>
    <col min="5" max="5" width="12" bestFit="1" customWidth="1"/>
  </cols>
  <sheetData>
    <row r="1" spans="1:13" x14ac:dyDescent="0.3">
      <c r="B1" t="s">
        <v>22</v>
      </c>
      <c r="C1" t="s">
        <v>23</v>
      </c>
      <c r="D1" t="s">
        <v>24</v>
      </c>
      <c r="E1" t="s">
        <v>25</v>
      </c>
      <c r="F1" t="s">
        <v>17</v>
      </c>
      <c r="G1" t="s">
        <v>20</v>
      </c>
      <c r="H1" t="s">
        <v>21</v>
      </c>
      <c r="J1" t="s">
        <v>26</v>
      </c>
      <c r="K1" t="s">
        <v>22</v>
      </c>
      <c r="L1" t="s">
        <v>23</v>
      </c>
      <c r="M1" t="s">
        <v>24</v>
      </c>
    </row>
    <row r="2" spans="1:13" x14ac:dyDescent="0.3">
      <c r="A2" t="s">
        <v>28</v>
      </c>
      <c r="B2">
        <v>19</v>
      </c>
      <c r="C2">
        <v>44.4</v>
      </c>
      <c r="D2">
        <v>70</v>
      </c>
      <c r="E2">
        <v>3.6</v>
      </c>
      <c r="F2">
        <f>B2+$K$2</f>
        <v>18.5</v>
      </c>
      <c r="G2">
        <f>C2+$L$2-F2</f>
        <v>25.4</v>
      </c>
      <c r="H2">
        <f>D2-F2-G2</f>
        <v>26.1</v>
      </c>
      <c r="K2">
        <v>-0.5</v>
      </c>
      <c r="L2">
        <v>-0.5</v>
      </c>
      <c r="M2">
        <v>0</v>
      </c>
    </row>
    <row r="3" spans="1:13" x14ac:dyDescent="0.3">
      <c r="B3">
        <v>19</v>
      </c>
      <c r="C3">
        <v>47.7</v>
      </c>
      <c r="D3">
        <v>59.2</v>
      </c>
      <c r="E3">
        <v>1.1000000000000001</v>
      </c>
      <c r="F3">
        <f>B3+$K$2</f>
        <v>18.5</v>
      </c>
      <c r="G3">
        <f>C3+$L$2-F3</f>
        <v>28.700000000000003</v>
      </c>
      <c r="H3">
        <f t="shared" ref="H3:H10" si="0">D3-F3-G3</f>
        <v>12</v>
      </c>
    </row>
    <row r="4" spans="1:13" x14ac:dyDescent="0.3">
      <c r="B4">
        <v>19</v>
      </c>
      <c r="C4">
        <v>49.6</v>
      </c>
      <c r="D4">
        <v>59.6</v>
      </c>
      <c r="E4">
        <v>0.8</v>
      </c>
      <c r="F4">
        <f>B4+$K$2</f>
        <v>18.5</v>
      </c>
      <c r="G4">
        <f>C4+$L$2-F4</f>
        <v>30.6</v>
      </c>
      <c r="H4">
        <f t="shared" si="0"/>
        <v>10.5</v>
      </c>
    </row>
    <row r="6" spans="1:13" x14ac:dyDescent="0.3">
      <c r="A6" t="s">
        <v>29</v>
      </c>
      <c r="B6">
        <v>4.8</v>
      </c>
      <c r="C6" t="s">
        <v>27</v>
      </c>
      <c r="D6">
        <v>13.6</v>
      </c>
      <c r="E6">
        <v>1</v>
      </c>
      <c r="F6">
        <f>B6+$K$2</f>
        <v>4.3</v>
      </c>
      <c r="G6">
        <v>0.8</v>
      </c>
      <c r="H6">
        <f t="shared" si="0"/>
        <v>8.5</v>
      </c>
    </row>
    <row r="8" spans="1:13" x14ac:dyDescent="0.3">
      <c r="A8" t="s">
        <v>30</v>
      </c>
      <c r="B8">
        <v>17</v>
      </c>
      <c r="C8">
        <v>35.4</v>
      </c>
      <c r="D8">
        <v>49.6</v>
      </c>
      <c r="E8">
        <v>3.5</v>
      </c>
      <c r="F8">
        <f>B8+$K$2</f>
        <v>16.5</v>
      </c>
      <c r="G8">
        <f>C8+$L$2-F8</f>
        <v>18.399999999999999</v>
      </c>
      <c r="H8">
        <f t="shared" si="0"/>
        <v>14.700000000000003</v>
      </c>
    </row>
    <row r="9" spans="1:13" x14ac:dyDescent="0.3">
      <c r="B9">
        <v>17</v>
      </c>
      <c r="C9">
        <v>37.5</v>
      </c>
      <c r="D9">
        <v>43.5</v>
      </c>
      <c r="E9">
        <v>2.6</v>
      </c>
      <c r="F9">
        <f>B9+$K$2</f>
        <v>16.5</v>
      </c>
      <c r="G9">
        <f>C9+$L$2-F9</f>
        <v>20.5</v>
      </c>
      <c r="H9">
        <f t="shared" si="0"/>
        <v>6.5</v>
      </c>
    </row>
    <row r="10" spans="1:13" x14ac:dyDescent="0.3">
      <c r="B10">
        <v>17</v>
      </c>
      <c r="C10">
        <v>36.200000000000003</v>
      </c>
      <c r="D10">
        <v>45</v>
      </c>
      <c r="E10">
        <v>2.5</v>
      </c>
      <c r="F10">
        <f>B10+$K$2</f>
        <v>16.5</v>
      </c>
      <c r="G10">
        <f>C10+$L$2-F10</f>
        <v>19.200000000000003</v>
      </c>
      <c r="H10">
        <f t="shared" si="0"/>
        <v>9.2999999999999972</v>
      </c>
    </row>
    <row r="13" spans="1:13" x14ac:dyDescent="0.3">
      <c r="B13" t="s">
        <v>45</v>
      </c>
      <c r="C13" t="s">
        <v>46</v>
      </c>
      <c r="D13" t="s">
        <v>47</v>
      </c>
      <c r="E13" t="s">
        <v>14</v>
      </c>
      <c r="F13" t="s">
        <v>15</v>
      </c>
    </row>
    <row r="14" spans="1:13" x14ac:dyDescent="0.3">
      <c r="B14">
        <f>C14*D14/E14/F14</f>
        <v>-1.3020833333333333</v>
      </c>
      <c r="C14">
        <f>100*E14/(E14-100)</f>
        <v>-185.71428571428572</v>
      </c>
      <c r="D14">
        <v>85</v>
      </c>
      <c r="E14">
        <v>65</v>
      </c>
      <c r="F14">
        <f>0.8-C14</f>
        <v>186.51428571428573</v>
      </c>
    </row>
    <row r="17" spans="2:6" x14ac:dyDescent="0.3">
      <c r="B17" t="s">
        <v>43</v>
      </c>
      <c r="C17" t="s">
        <v>44</v>
      </c>
      <c r="E17" t="s">
        <v>48</v>
      </c>
      <c r="F17" t="s">
        <v>49</v>
      </c>
    </row>
    <row r="18" spans="2:6" x14ac:dyDescent="0.3">
      <c r="B18">
        <v>100</v>
      </c>
      <c r="C18">
        <v>50</v>
      </c>
      <c r="E18">
        <f>1/(1/B18+1/C18)</f>
        <v>33.333333333333336</v>
      </c>
      <c r="F18">
        <f>1/(1/B18+1/C18-8/(B18*C18))</f>
        <v>35.211267605633807</v>
      </c>
    </row>
    <row r="20" spans="2:6" x14ac:dyDescent="0.3">
      <c r="C20">
        <f>D14/E14</f>
        <v>1.3076923076923077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B78B0-80A8-4BB2-BD4A-7B706C61FABA}">
  <dimension ref="A1:L11"/>
  <sheetViews>
    <sheetView tabSelected="1" workbookViewId="0">
      <selection activeCell="D27" sqref="D27"/>
    </sheetView>
  </sheetViews>
  <sheetFormatPr defaultColWidth="10.77734375" defaultRowHeight="14.4" x14ac:dyDescent="0.3"/>
  <cols>
    <col min="5" max="5" width="33.77734375" bestFit="1" customWidth="1"/>
    <col min="6" max="6" width="23.5546875" bestFit="1" customWidth="1"/>
  </cols>
  <sheetData>
    <row r="1" spans="1:12" x14ac:dyDescent="0.3">
      <c r="A1" t="s">
        <v>22</v>
      </c>
      <c r="B1" t="s">
        <v>23</v>
      </c>
      <c r="C1" t="s">
        <v>24</v>
      </c>
      <c r="D1" t="s">
        <v>25</v>
      </c>
      <c r="E1" t="s">
        <v>32</v>
      </c>
      <c r="F1" t="s">
        <v>31</v>
      </c>
      <c r="G1" t="s">
        <v>33</v>
      </c>
      <c r="H1" t="s">
        <v>40</v>
      </c>
      <c r="I1" t="s">
        <v>26</v>
      </c>
      <c r="J1" t="s">
        <v>22</v>
      </c>
      <c r="K1" t="s">
        <v>23</v>
      </c>
      <c r="L1" t="s">
        <v>24</v>
      </c>
    </row>
    <row r="2" spans="1:12" x14ac:dyDescent="0.3">
      <c r="A2">
        <v>5.5</v>
      </c>
      <c r="B2">
        <v>22.3</v>
      </c>
      <c r="C2">
        <f>22.3+15</f>
        <v>37.299999999999997</v>
      </c>
      <c r="E2">
        <f>A2+$J$2</f>
        <v>6</v>
      </c>
      <c r="F2">
        <f>B2-$K$2-E2</f>
        <v>15.8</v>
      </c>
      <c r="G2">
        <f>C2-$L$2</f>
        <v>36.799999999999997</v>
      </c>
      <c r="H2">
        <v>9</v>
      </c>
      <c r="J2">
        <v>0.5</v>
      </c>
      <c r="K2">
        <v>0.5</v>
      </c>
      <c r="L2">
        <v>0.5</v>
      </c>
    </row>
    <row r="3" spans="1:12" x14ac:dyDescent="0.3">
      <c r="A3">
        <v>5.2</v>
      </c>
      <c r="B3">
        <v>26.3</v>
      </c>
      <c r="E3">
        <f>A3+$J$2</f>
        <v>5.7</v>
      </c>
      <c r="F3">
        <f>B3-$K$2-E3</f>
        <v>20.100000000000001</v>
      </c>
      <c r="G3">
        <f>C3-$L$2</f>
        <v>-0.5</v>
      </c>
    </row>
    <row r="4" spans="1:12" x14ac:dyDescent="0.3">
      <c r="E4" t="s">
        <v>38</v>
      </c>
      <c r="F4" t="s">
        <v>39</v>
      </c>
    </row>
    <row r="5" spans="1:12" x14ac:dyDescent="0.3">
      <c r="E5">
        <v>2.2000000000000002</v>
      </c>
      <c r="F5">
        <v>1.2</v>
      </c>
    </row>
    <row r="6" spans="1:12" x14ac:dyDescent="0.3">
      <c r="A6" t="s">
        <v>34</v>
      </c>
      <c r="B6" t="s">
        <v>35</v>
      </c>
      <c r="C6" t="s">
        <v>41</v>
      </c>
      <c r="F6">
        <f>0.7/0.35</f>
        <v>2</v>
      </c>
    </row>
    <row r="7" spans="1:12" x14ac:dyDescent="0.3">
      <c r="A7" t="s">
        <v>36</v>
      </c>
      <c r="B7" t="s">
        <v>37</v>
      </c>
    </row>
    <row r="8" spans="1:12" x14ac:dyDescent="0.3">
      <c r="A8">
        <f>1/25</f>
        <v>0.04</v>
      </c>
      <c r="B8">
        <f>F5/10</f>
        <v>0.12</v>
      </c>
      <c r="C8">
        <f>B8/A8</f>
        <v>3</v>
      </c>
    </row>
    <row r="9" spans="1:12" x14ac:dyDescent="0.3">
      <c r="A9">
        <f>1/25</f>
        <v>0.04</v>
      </c>
      <c r="B9">
        <f>F6/10</f>
        <v>0.2</v>
      </c>
      <c r="C9">
        <f>B9/A9</f>
        <v>5</v>
      </c>
    </row>
    <row r="10" spans="1:12" x14ac:dyDescent="0.3">
      <c r="A10">
        <f>25*F2/(14.72*10)</f>
        <v>2.683423913043478</v>
      </c>
      <c r="B10" t="s">
        <v>42</v>
      </c>
    </row>
    <row r="11" spans="1:12" x14ac:dyDescent="0.3">
      <c r="A11">
        <f>25*F3/(15*10)</f>
        <v>3.3500000000000005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769D4-FA4E-49FD-AB19-3F3E79EEE4E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a.</vt:lpstr>
      <vt:lpstr>1. b. </vt:lpstr>
      <vt:lpstr>1. c.</vt:lpstr>
      <vt:lpstr>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 Gauthier</dc:creator>
  <cp:lastModifiedBy>Rozier Vilardell Guilhem</cp:lastModifiedBy>
  <dcterms:created xsi:type="dcterms:W3CDTF">2026-05-13T06:18:47Z</dcterms:created>
  <dcterms:modified xsi:type="dcterms:W3CDTF">2026-06-09T20:38:53Z</dcterms:modified>
</cp:coreProperties>
</file>